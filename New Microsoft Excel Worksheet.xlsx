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1205AFD-A659-42D2-8193-A9E6C2EEB1C6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MM1 Infinity" sheetId="1" r:id="rId1"/>
    <sheet name="MM1 INF 2" sheetId="2" r:id="rId2"/>
    <sheet name="MM1K" sheetId="3" r:id="rId3"/>
    <sheet name="mm1k2" sheetId="4" r:id="rId4"/>
    <sheet name="mmc infinity" sheetId="5" r:id="rId5"/>
    <sheet name="mmck" sheetId="6" r:id="rId6"/>
    <sheet name="b&amp;d 1" sheetId="7" r:id="rId7"/>
    <sheet name="b&amp;d 2" sheetId="8" r:id="rId8"/>
    <sheet name="simulation" sheetId="9" r:id="rId9"/>
    <sheet name="reliability" sheetId="10" r:id="rId10"/>
    <sheet name="rel 2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9" l="1"/>
  <c r="E9" i="11"/>
  <c r="B7" i="11"/>
  <c r="B6" i="11"/>
  <c r="B5" i="11"/>
  <c r="D22" i="9"/>
  <c r="D23" i="9"/>
  <c r="D24" i="9"/>
  <c r="D25" i="9"/>
  <c r="D26" i="9"/>
  <c r="D27" i="9"/>
  <c r="D21" i="9"/>
  <c r="D14" i="9"/>
  <c r="D15" i="9"/>
  <c r="D16" i="9"/>
  <c r="D13" i="9"/>
  <c r="D12" i="9"/>
  <c r="D6" i="8"/>
  <c r="D5" i="8"/>
  <c r="E9" i="7"/>
  <c r="B14" i="6"/>
  <c r="B5" i="6"/>
  <c r="B4" i="5"/>
  <c r="B11" i="4"/>
  <c r="B12" i="4"/>
  <c r="B10" i="4"/>
  <c r="B9" i="4"/>
  <c r="B3" i="4"/>
  <c r="B57" i="3"/>
  <c r="B58" i="3"/>
  <c r="B59" i="3"/>
  <c r="B6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1" i="3"/>
  <c r="B10" i="3"/>
  <c r="A33" i="3"/>
  <c r="A34" i="3"/>
  <c r="A35" i="3"/>
  <c r="A36" i="3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11" i="3"/>
  <c r="B4" i="3"/>
  <c r="C10" i="2"/>
  <c r="C6" i="2"/>
  <c r="C2" i="2"/>
  <c r="C1" i="2"/>
  <c r="C4" i="2" s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13" i="1"/>
  <c r="B12" i="1"/>
  <c r="A14" i="1"/>
  <c r="B11" i="1"/>
  <c r="C7" i="1"/>
  <c r="C6" i="1"/>
  <c r="C5" i="1"/>
  <c r="C4" i="1"/>
  <c r="C3" i="1"/>
  <c r="C3" i="2" l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C5" i="2" l="1"/>
  <c r="C7" i="2"/>
</calcChain>
</file>

<file path=xl/sharedStrings.xml><?xml version="1.0" encoding="utf-8"?>
<sst xmlns="http://schemas.openxmlformats.org/spreadsheetml/2006/main" count="155" uniqueCount="93">
  <si>
    <t>ρ</t>
  </si>
  <si>
    <t>μ</t>
  </si>
  <si>
    <r>
      <t>L</t>
    </r>
    <r>
      <rPr>
        <vertAlign val="subscript"/>
        <sz val="11"/>
        <color theme="1"/>
        <rFont val="Times New Roman"/>
        <family val="1"/>
      </rPr>
      <t>s</t>
    </r>
  </si>
  <si>
    <r>
      <t>L</t>
    </r>
    <r>
      <rPr>
        <vertAlign val="subscript"/>
        <sz val="11"/>
        <color theme="1"/>
        <rFont val="Times New Roman"/>
        <family val="1"/>
      </rPr>
      <t>q</t>
    </r>
  </si>
  <si>
    <r>
      <t>W</t>
    </r>
    <r>
      <rPr>
        <vertAlign val="subscript"/>
        <sz val="11"/>
        <color theme="1"/>
        <rFont val="Times New Roman"/>
        <family val="1"/>
      </rPr>
      <t>s</t>
    </r>
  </si>
  <si>
    <r>
      <t>W</t>
    </r>
    <r>
      <rPr>
        <vertAlign val="subscript"/>
        <sz val="11"/>
        <color theme="1"/>
        <rFont val="Times New Roman"/>
        <family val="1"/>
      </rPr>
      <t>q</t>
    </r>
  </si>
  <si>
    <t>λ</t>
  </si>
  <si>
    <t>λ/(μ-λ)</t>
  </si>
  <si>
    <t>ρ*λ/(μ-λ)</t>
  </si>
  <si>
    <t>1/(μ-λ)</t>
  </si>
  <si>
    <t>ρ/(μ-λ)</t>
  </si>
  <si>
    <t>n</t>
  </si>
  <si>
    <t>Probability</t>
  </si>
  <si>
    <t>λ/μ</t>
  </si>
  <si>
    <t>μ/(μ-λ)</t>
  </si>
  <si>
    <r>
      <t>L</t>
    </r>
    <r>
      <rPr>
        <vertAlign val="subscript"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'</t>
    </r>
  </si>
  <si>
    <t>N</t>
  </si>
  <si>
    <t>c</t>
  </si>
  <si>
    <t>a)</t>
  </si>
  <si>
    <t>b)</t>
  </si>
  <si>
    <t>c)</t>
  </si>
  <si>
    <t>d)</t>
  </si>
  <si>
    <t>M</t>
  </si>
  <si>
    <t>S</t>
  </si>
  <si>
    <t>nμ</t>
  </si>
  <si>
    <t>ships/day</t>
  </si>
  <si>
    <t>Average unloading time with n crews</t>
  </si>
  <si>
    <t>1/2n</t>
  </si>
  <si>
    <t>days</t>
  </si>
  <si>
    <t>day</t>
  </si>
  <si>
    <t>Average unloading time with 1 crew</t>
  </si>
  <si>
    <t>Mean unloading time with one crew (μ) =</t>
  </si>
  <si>
    <t>P(N&gt;4)</t>
  </si>
  <si>
    <r>
      <t>1-e</t>
    </r>
    <r>
      <rPr>
        <vertAlign val="superscript"/>
        <sz val="11"/>
        <color theme="1"/>
        <rFont val="Calibri"/>
        <family val="2"/>
        <scheme val="minor"/>
      </rPr>
      <t>-ρ</t>
    </r>
    <r>
      <rPr>
        <sz val="11"/>
        <color theme="1"/>
        <rFont val="Calibri"/>
        <family val="2"/>
        <scheme val="minor"/>
      </rPr>
      <t>(1+ρ+ρ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/2!+ρ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/3!+ρ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/4!)</t>
    </r>
  </si>
  <si>
    <t>problems/day</t>
  </si>
  <si>
    <r>
      <t>L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/λ</t>
    </r>
  </si>
  <si>
    <t>=</t>
  </si>
  <si>
    <t>hrs</t>
  </si>
  <si>
    <t>Category of service</t>
  </si>
  <si>
    <t>Time Required (in min)</t>
  </si>
  <si>
    <t>Probability of category</t>
  </si>
  <si>
    <t>Filling</t>
  </si>
  <si>
    <t>Crown</t>
  </si>
  <si>
    <t>Cleaning</t>
  </si>
  <si>
    <t>Extraction</t>
  </si>
  <si>
    <t>Check-up</t>
  </si>
  <si>
    <t>Cummulative probability</t>
  </si>
  <si>
    <t>Random interval</t>
  </si>
  <si>
    <t>0-39</t>
  </si>
  <si>
    <t>40-54</t>
  </si>
  <si>
    <t>55-69</t>
  </si>
  <si>
    <t>70-79</t>
  </si>
  <si>
    <t>80-99</t>
  </si>
  <si>
    <t>Arrival Time</t>
  </si>
  <si>
    <t>Random number</t>
  </si>
  <si>
    <t>Service Time</t>
  </si>
  <si>
    <t>Service Begin</t>
  </si>
  <si>
    <t>Service End</t>
  </si>
  <si>
    <t>Idle time for doctor</t>
  </si>
  <si>
    <t>Waiting time for patients (in mins)</t>
  </si>
  <si>
    <t>C1</t>
  </si>
  <si>
    <t>C2</t>
  </si>
  <si>
    <t>C3</t>
  </si>
  <si>
    <t>R1</t>
  </si>
  <si>
    <t>R2</t>
  </si>
  <si>
    <t>R3</t>
  </si>
  <si>
    <t>Objective</t>
  </si>
  <si>
    <t>max z</t>
  </si>
  <si>
    <t>&lt;=</t>
  </si>
  <si>
    <t>n1</t>
  </si>
  <si>
    <t>n2</t>
  </si>
  <si>
    <t>n3</t>
  </si>
  <si>
    <t>mean failure time (hrs)</t>
  </si>
  <si>
    <t>valves</t>
  </si>
  <si>
    <t>resistors</t>
  </si>
  <si>
    <t>capacitors</t>
  </si>
  <si>
    <t>MTBF</t>
  </si>
  <si>
    <t>The reliability of the system for 100 hours is</t>
  </si>
  <si>
    <r>
      <t>e</t>
    </r>
    <r>
      <rPr>
        <vertAlign val="superscript"/>
        <sz val="11"/>
        <color theme="1"/>
        <rFont val="Calibri"/>
        <family val="2"/>
        <scheme val="minor"/>
      </rPr>
      <t>-0.300003</t>
    </r>
  </si>
  <si>
    <t>Idle Time</t>
  </si>
  <si>
    <t>T(1-ρ)</t>
  </si>
  <si>
    <r>
      <t>P</t>
    </r>
    <r>
      <rPr>
        <vertAlign val="subscript"/>
        <sz val="11"/>
        <color theme="1"/>
        <rFont val="Calibri"/>
        <family val="2"/>
        <scheme val="minor"/>
      </rPr>
      <t>0</t>
    </r>
  </si>
  <si>
    <t>p1</t>
  </si>
  <si>
    <t>p2</t>
  </si>
  <si>
    <r>
      <t>P</t>
    </r>
    <r>
      <rPr>
        <vertAlign val="subscript"/>
        <sz val="11"/>
        <color theme="1"/>
        <rFont val="Calibri"/>
        <family val="2"/>
        <scheme val="minor"/>
      </rPr>
      <t>n</t>
    </r>
  </si>
  <si>
    <r>
      <t>P</t>
    </r>
    <r>
      <rPr>
        <vertAlign val="subscript"/>
        <sz val="11"/>
        <color theme="1"/>
        <rFont val="Times New Roman"/>
        <family val="1"/>
      </rPr>
      <t>0</t>
    </r>
  </si>
  <si>
    <t>constraints</t>
  </si>
  <si>
    <t>R(t)</t>
  </si>
  <si>
    <t xml:space="preserve"> e(-100/333.33)</t>
  </si>
  <si>
    <r>
      <t>1/(15λ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+20λ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+10λ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</si>
  <si>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λ</t>
    </r>
    <r>
      <rPr>
        <vertAlign val="subscript"/>
        <sz val="11"/>
        <color theme="1"/>
        <rFont val="Calibri"/>
        <family val="2"/>
        <scheme val="minor"/>
      </rPr>
      <t>1</t>
    </r>
  </si>
  <si>
    <r>
      <t>λ</t>
    </r>
    <r>
      <rPr>
        <vertAlign val="subscript"/>
        <sz val="11"/>
        <color theme="1"/>
        <rFont val="Calibri"/>
        <family val="2"/>
        <scheme val="minor"/>
      </rPr>
      <t>2</t>
    </r>
  </si>
  <si>
    <r>
      <t>λ</t>
    </r>
    <r>
      <rPr>
        <vertAlign val="sub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</si>
</sst>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E+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ont="1" applyFill="1" applyBorder="1"/>
    <xf numFmtId="0" fontId="0" fillId="2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7" fontId="0" fillId="0" borderId="1" xfId="0" applyNumberFormat="1" applyBorder="1"/>
    <xf numFmtId="2" fontId="0" fillId="0" borderId="1" xfId="0" applyNumberFormat="1" applyBorder="1"/>
    <xf numFmtId="11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wrapText="1"/>
    </xf>
    <xf numFmtId="18" fontId="0" fillId="0" borderId="1" xfId="0" applyNumberForma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120618</xdr:colOff>
      <xdr:row>9</xdr:row>
      <xdr:rowOff>14763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F18F66-A607-E2D4-2076-E6833738F5A4}"/>
            </a:ext>
          </a:extLst>
        </xdr:cNvPr>
        <xdr:cNvSpPr txBox="1"/>
      </xdr:nvSpPr>
      <xdr:spPr>
        <a:xfrm>
          <a:off x="5607018" y="173561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5</xdr:col>
      <xdr:colOff>425451</xdr:colOff>
      <xdr:row>1</xdr:row>
      <xdr:rowOff>92678</xdr:rowOff>
    </xdr:from>
    <xdr:ext cx="2717800" cy="2941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2849BC-3EBD-0858-B4FB-86B01F43E654}"/>
                </a:ext>
              </a:extLst>
            </xdr:cNvPr>
            <xdr:cNvSpPr txBox="1"/>
          </xdr:nvSpPr>
          <xdr:spPr>
            <a:xfrm>
              <a:off x="3473451" y="276828"/>
              <a:ext cx="2717800" cy="294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1">
                  <a:latin typeface="+mn-lt"/>
                </a:rPr>
                <a:t>L</a:t>
              </a:r>
              <a:r>
                <a:rPr lang="en-IN" sz="1100" i="1" baseline="-25000">
                  <a:latin typeface="+mn-lt"/>
                </a:rPr>
                <a:t>s</a:t>
              </a:r>
              <a:r>
                <a:rPr lang="en-IN" sz="1100" i="1">
                  <a:latin typeface="+mn-lt"/>
                </a:rPr>
                <a:t>= </a:t>
              </a:r>
              <a:r>
                <a:rPr lang="en-IN" sz="1100" i="1" baseline="0">
                  <a:latin typeface="+mn-lt"/>
                </a:rPr>
                <a:t> </a:t>
              </a:r>
              <a14:m>
                <m:oMath xmlns:m="http://schemas.openxmlformats.org/officeDocument/2006/math">
                  <m:f>
                    <m:f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100" i="1">
                          <a:latin typeface="Cambria Math" panose="02040503050406030204" pitchFamily="18" charset="0"/>
                        </a:rPr>
                        <m:t>𝜌</m:t>
                      </m:r>
                      <m:r>
                        <a:rPr lang="en-IN" sz="1100" b="0" i="1">
                          <a:latin typeface="Cambria Math" panose="02040503050406030204" pitchFamily="18" charset="0"/>
                        </a:rPr>
                        <m:t>[1−</m:t>
                      </m:r>
                      <m:d>
                        <m:dPr>
                          <m:ctrlPr>
                            <a:rPr lang="en-IN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</m:d>
                      <m:sSup>
                        <m:sSupPr>
                          <m:ctrlPr>
                            <a:rPr lang="el-GR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l-GR" sz="1100" b="0" i="1">
                              <a:latin typeface="Cambria Math" panose="02040503050406030204" pitchFamily="18" charset="0"/>
                            </a:rPr>
                            <m:t>𝜌</m:t>
                          </m:r>
                        </m:e>
                        <m:sup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p>
                      </m:sSup>
                      <m:r>
                        <a:rPr lang="en-IN" sz="11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IN" sz="1100" b="0" i="1">
                          <a:latin typeface="Cambria Math" panose="02040503050406030204" pitchFamily="18" charset="0"/>
                        </a:rPr>
                        <m:t>𝑘</m:t>
                      </m:r>
                      <m:sSup>
                        <m:sSupPr>
                          <m:ctrlPr>
                            <a:rPr lang="en-IN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l-GR" sz="1100" b="0" i="1">
                              <a:latin typeface="Cambria Math" panose="02040503050406030204" pitchFamily="18" charset="0"/>
                            </a:rPr>
                            <m:t>𝜌</m:t>
                          </m:r>
                        </m:e>
                        <m:sup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+1</m:t>
                          </m:r>
                        </m:sup>
                      </m:sSup>
                      <m:r>
                        <a:rPr lang="en-IN" sz="1100" b="0" i="1">
                          <a:latin typeface="Cambria Math" panose="02040503050406030204" pitchFamily="18" charset="0"/>
                        </a:rPr>
                        <m:t>]</m:t>
                      </m:r>
                    </m:num>
                    <m:den>
                      <m:r>
                        <a:rPr lang="en-IN" sz="1100" b="0" i="1">
                          <a:latin typeface="Cambria Math" panose="02040503050406030204" pitchFamily="18" charset="0"/>
                        </a:rPr>
                        <m:t>(1−</m:t>
                      </m:r>
                      <m:sSup>
                        <m:sSupPr>
                          <m:ctrlPr>
                            <a:rPr lang="en-IN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l-GR" sz="1100" b="0" i="1">
                              <a:latin typeface="Cambria Math" panose="02040503050406030204" pitchFamily="18" charset="0"/>
                            </a:rPr>
                            <m:t>𝜌</m:t>
                          </m:r>
                        </m:e>
                        <m:sup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  <m:r>
                            <a:rPr lang="en-IN" sz="1100" b="0" i="1">
                              <a:latin typeface="Cambria Math" panose="02040503050406030204" pitchFamily="18" charset="0"/>
                            </a:rPr>
                            <m:t>+1</m:t>
                          </m:r>
                        </m:sup>
                      </m:sSup>
                      <m:r>
                        <a:rPr lang="en-IN" sz="1100" b="0" i="1">
                          <a:latin typeface="Cambria Math" panose="02040503050406030204" pitchFamily="18" charset="0"/>
                        </a:rPr>
                        <m:t>)(1−</m:t>
                      </m:r>
                      <m:r>
                        <a:rPr lang="el-GR" sz="1100" b="0" i="1">
                          <a:latin typeface="Cambria Math" panose="02040503050406030204" pitchFamily="18" charset="0"/>
                        </a:rPr>
                        <m:t>𝜌</m:t>
                      </m:r>
                      <m:r>
                        <a:rPr lang="en-IN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IN" sz="1100"/>
                <a:t>    if </a:t>
              </a:r>
              <a:r>
                <a:rPr lang="el-GR" sz="1100"/>
                <a:t>ρ</a:t>
              </a:r>
              <a:r>
                <a:rPr lang="en-IN" sz="1100"/>
                <a:t> not equal to</a:t>
              </a:r>
              <a:r>
                <a:rPr lang="en-IN" sz="1100" baseline="0"/>
                <a:t> 1</a:t>
              </a:r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2849BC-3EBD-0858-B4FB-86B01F43E654}"/>
                </a:ext>
              </a:extLst>
            </xdr:cNvPr>
            <xdr:cNvSpPr txBox="1"/>
          </xdr:nvSpPr>
          <xdr:spPr>
            <a:xfrm>
              <a:off x="3473451" y="276828"/>
              <a:ext cx="2717800" cy="2941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1">
                  <a:latin typeface="+mn-lt"/>
                </a:rPr>
                <a:t>L</a:t>
              </a:r>
              <a:r>
                <a:rPr lang="en-IN" sz="1100" i="1" baseline="-25000">
                  <a:latin typeface="+mn-lt"/>
                </a:rPr>
                <a:t>s</a:t>
              </a:r>
              <a:r>
                <a:rPr lang="en-IN" sz="1100" i="1">
                  <a:latin typeface="+mn-lt"/>
                </a:rPr>
                <a:t>= </a:t>
              </a:r>
              <a:r>
                <a:rPr lang="en-IN" sz="1100" i="1" baseline="0">
                  <a:latin typeface="+mn-lt"/>
                </a:rPr>
                <a:t> </a:t>
              </a:r>
              <a:r>
                <a:rPr lang="en-IN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𝜌</a:t>
              </a:r>
              <a:r>
                <a:rPr lang="en-IN" sz="1100" b="0" i="0">
                  <a:latin typeface="Cambria Math" panose="02040503050406030204" pitchFamily="18" charset="0"/>
                </a:rPr>
                <a:t>[1−(1+𝑘)</a:t>
              </a:r>
              <a:r>
                <a:rPr lang="el-GR" sz="1100" b="0" i="0">
                  <a:latin typeface="Cambria Math" panose="02040503050406030204" pitchFamily="18" charset="0"/>
                </a:rPr>
                <a:t> 𝜌^</a:t>
              </a:r>
              <a:r>
                <a:rPr lang="en-IN" sz="1100" b="0" i="0">
                  <a:latin typeface="Cambria Math" panose="02040503050406030204" pitchFamily="18" charset="0"/>
                </a:rPr>
                <a:t>𝑘+𝑘</a:t>
              </a:r>
              <a:r>
                <a:rPr lang="el-GR" sz="1100" b="0" i="0">
                  <a:latin typeface="Cambria Math" panose="02040503050406030204" pitchFamily="18" charset="0"/>
                </a:rPr>
                <a:t>𝜌</a:t>
              </a:r>
              <a:r>
                <a:rPr lang="en-IN" sz="1100" b="0" i="0">
                  <a:latin typeface="Cambria Math" panose="02040503050406030204" pitchFamily="18" charset="0"/>
                </a:rPr>
                <a:t>^(𝑘+1)])/((1−</a:t>
              </a:r>
              <a:r>
                <a:rPr lang="el-GR" sz="1100" b="0" i="0">
                  <a:latin typeface="Cambria Math" panose="02040503050406030204" pitchFamily="18" charset="0"/>
                </a:rPr>
                <a:t>𝜌</a:t>
              </a:r>
              <a:r>
                <a:rPr lang="en-IN" sz="1100" b="0" i="0">
                  <a:latin typeface="Cambria Math" panose="02040503050406030204" pitchFamily="18" charset="0"/>
                </a:rPr>
                <a:t>^(𝑘+1))(1−</a:t>
              </a:r>
              <a:r>
                <a:rPr lang="el-GR" sz="1100" b="0" i="0">
                  <a:latin typeface="Cambria Math" panose="02040503050406030204" pitchFamily="18" charset="0"/>
                </a:rPr>
                <a:t>𝜌</a:t>
              </a:r>
              <a:r>
                <a:rPr lang="en-IN" sz="1100" b="0" i="0">
                  <a:latin typeface="Cambria Math" panose="02040503050406030204" pitchFamily="18" charset="0"/>
                </a:rPr>
                <a:t>))</a:t>
              </a:r>
              <a:r>
                <a:rPr lang="en-IN" sz="1100"/>
                <a:t>    if </a:t>
              </a:r>
              <a:r>
                <a:rPr lang="el-GR" sz="1100"/>
                <a:t>ρ</a:t>
              </a:r>
              <a:r>
                <a:rPr lang="en-IN" sz="1100"/>
                <a:t> not equal to</a:t>
              </a:r>
              <a:r>
                <a:rPr lang="en-IN" sz="1100" baseline="0"/>
                <a:t> 1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workbookViewId="0">
      <selection activeCell="A10" sqref="A10:B91"/>
    </sheetView>
  </sheetViews>
  <sheetFormatPr defaultRowHeight="14.5" x14ac:dyDescent="0.35"/>
  <cols>
    <col min="2" max="2" width="10.453125" customWidth="1"/>
  </cols>
  <sheetData>
    <row r="1" spans="1:3" x14ac:dyDescent="0.35">
      <c r="A1" s="5" t="s">
        <v>6</v>
      </c>
      <c r="B1" s="3"/>
      <c r="C1" s="3">
        <v>50</v>
      </c>
    </row>
    <row r="2" spans="1:3" x14ac:dyDescent="0.35">
      <c r="A2" s="5" t="s">
        <v>1</v>
      </c>
      <c r="B2" s="3"/>
      <c r="C2" s="3">
        <v>60</v>
      </c>
    </row>
    <row r="3" spans="1:3" x14ac:dyDescent="0.35">
      <c r="A3" s="5" t="s">
        <v>0</v>
      </c>
      <c r="B3" s="3"/>
      <c r="C3" s="3">
        <f>C1/C2</f>
        <v>0.83333333333333337</v>
      </c>
    </row>
    <row r="4" spans="1:3" ht="17" x14ac:dyDescent="0.45">
      <c r="A4" s="5" t="s">
        <v>2</v>
      </c>
      <c r="B4" s="3" t="s">
        <v>7</v>
      </c>
      <c r="C4" s="3">
        <f>C1/(C2-C1)</f>
        <v>5</v>
      </c>
    </row>
    <row r="5" spans="1:3" ht="17" x14ac:dyDescent="0.45">
      <c r="A5" s="5" t="s">
        <v>3</v>
      </c>
      <c r="B5" s="3" t="s">
        <v>8</v>
      </c>
      <c r="C5" s="3">
        <f>C4*C3</f>
        <v>4.166666666666667</v>
      </c>
    </row>
    <row r="6" spans="1:3" ht="17" x14ac:dyDescent="0.45">
      <c r="A6" s="5" t="s">
        <v>4</v>
      </c>
      <c r="B6" s="3" t="s">
        <v>9</v>
      </c>
      <c r="C6" s="3">
        <f>1/(C2-C1)</f>
        <v>0.1</v>
      </c>
    </row>
    <row r="7" spans="1:3" ht="17" x14ac:dyDescent="0.45">
      <c r="A7" s="5" t="s">
        <v>5</v>
      </c>
      <c r="B7" s="3" t="s">
        <v>10</v>
      </c>
      <c r="C7" s="3">
        <f>C3*C6</f>
        <v>8.3333333333333343E-2</v>
      </c>
    </row>
    <row r="10" spans="1:3" x14ac:dyDescent="0.35">
      <c r="A10" s="6" t="s">
        <v>11</v>
      </c>
      <c r="B10" s="7" t="s">
        <v>12</v>
      </c>
    </row>
    <row r="11" spans="1:3" x14ac:dyDescent="0.35">
      <c r="A11" s="3">
        <v>0</v>
      </c>
      <c r="B11" s="3">
        <f>1-C3</f>
        <v>0.16666666666666663</v>
      </c>
    </row>
    <row r="12" spans="1:3" x14ac:dyDescent="0.35">
      <c r="A12" s="3">
        <v>1</v>
      </c>
      <c r="B12" s="8">
        <f>(($B$11)^A12)*$C$3</f>
        <v>0.13888888888888887</v>
      </c>
    </row>
    <row r="13" spans="1:3" x14ac:dyDescent="0.35">
      <c r="A13" s="3">
        <v>2</v>
      </c>
      <c r="B13" s="8">
        <f>(($C$3)^A13)*$B$11</f>
        <v>0.11574074074074073</v>
      </c>
    </row>
    <row r="14" spans="1:3" x14ac:dyDescent="0.35">
      <c r="A14" s="3">
        <f t="shared" ref="A14:A77" si="0">A13+1</f>
        <v>3</v>
      </c>
      <c r="B14" s="8">
        <f t="shared" ref="B14:B77" si="1">(($C$3)^A14)*$B$11</f>
        <v>9.6450617283950615E-2</v>
      </c>
    </row>
    <row r="15" spans="1:3" x14ac:dyDescent="0.35">
      <c r="A15" s="3">
        <f t="shared" si="0"/>
        <v>4</v>
      </c>
      <c r="B15" s="8">
        <f t="shared" si="1"/>
        <v>8.0375514403292186E-2</v>
      </c>
    </row>
    <row r="16" spans="1:3" x14ac:dyDescent="0.35">
      <c r="A16" s="3">
        <f t="shared" si="0"/>
        <v>5</v>
      </c>
      <c r="B16" s="8">
        <f t="shared" si="1"/>
        <v>6.6979595336076822E-2</v>
      </c>
    </row>
    <row r="17" spans="1:2" x14ac:dyDescent="0.35">
      <c r="A17" s="3">
        <f t="shared" si="0"/>
        <v>6</v>
      </c>
      <c r="B17" s="8">
        <f t="shared" si="1"/>
        <v>5.5816329446730692E-2</v>
      </c>
    </row>
    <row r="18" spans="1:2" x14ac:dyDescent="0.35">
      <c r="A18" s="3">
        <f t="shared" si="0"/>
        <v>7</v>
      </c>
      <c r="B18" s="8">
        <f t="shared" si="1"/>
        <v>4.6513607872275577E-2</v>
      </c>
    </row>
    <row r="19" spans="1:2" x14ac:dyDescent="0.35">
      <c r="A19" s="3">
        <f t="shared" si="0"/>
        <v>8</v>
      </c>
      <c r="B19" s="8">
        <f t="shared" si="1"/>
        <v>3.8761339893562986E-2</v>
      </c>
    </row>
    <row r="20" spans="1:2" x14ac:dyDescent="0.35">
      <c r="A20" s="3">
        <f t="shared" si="0"/>
        <v>9</v>
      </c>
      <c r="B20" s="8">
        <f t="shared" si="1"/>
        <v>3.2301116577969163E-2</v>
      </c>
    </row>
    <row r="21" spans="1:2" x14ac:dyDescent="0.35">
      <c r="A21" s="3">
        <f t="shared" si="0"/>
        <v>10</v>
      </c>
      <c r="B21" s="8">
        <f t="shared" si="1"/>
        <v>2.6917597148307635E-2</v>
      </c>
    </row>
    <row r="22" spans="1:2" x14ac:dyDescent="0.35">
      <c r="A22" s="3">
        <f t="shared" si="0"/>
        <v>11</v>
      </c>
      <c r="B22" s="8">
        <f t="shared" si="1"/>
        <v>2.243133095692303E-2</v>
      </c>
    </row>
    <row r="23" spans="1:2" x14ac:dyDescent="0.35">
      <c r="A23" s="3">
        <f t="shared" si="0"/>
        <v>12</v>
      </c>
      <c r="B23" s="8">
        <f t="shared" si="1"/>
        <v>1.8692775797435859E-2</v>
      </c>
    </row>
    <row r="24" spans="1:2" x14ac:dyDescent="0.35">
      <c r="A24" s="3">
        <f t="shared" si="0"/>
        <v>13</v>
      </c>
      <c r="B24" s="8">
        <f t="shared" si="1"/>
        <v>1.5577313164529883E-2</v>
      </c>
    </row>
    <row r="25" spans="1:2" x14ac:dyDescent="0.35">
      <c r="A25" s="3">
        <f t="shared" si="0"/>
        <v>14</v>
      </c>
      <c r="B25" s="8">
        <f t="shared" si="1"/>
        <v>1.2981094303774907E-2</v>
      </c>
    </row>
    <row r="26" spans="1:2" x14ac:dyDescent="0.35">
      <c r="A26" s="3">
        <f t="shared" si="0"/>
        <v>15</v>
      </c>
      <c r="B26" s="8">
        <f t="shared" si="1"/>
        <v>1.0817578586479089E-2</v>
      </c>
    </row>
    <row r="27" spans="1:2" x14ac:dyDescent="0.35">
      <c r="A27" s="3">
        <f t="shared" si="0"/>
        <v>16</v>
      </c>
      <c r="B27" s="8">
        <f t="shared" si="1"/>
        <v>9.0146488220659085E-3</v>
      </c>
    </row>
    <row r="28" spans="1:2" x14ac:dyDescent="0.35">
      <c r="A28" s="3">
        <f t="shared" si="0"/>
        <v>17</v>
      </c>
      <c r="B28" s="8">
        <f t="shared" si="1"/>
        <v>7.5122073517215901E-3</v>
      </c>
    </row>
    <row r="29" spans="1:2" x14ac:dyDescent="0.35">
      <c r="A29" s="3">
        <f t="shared" si="0"/>
        <v>18</v>
      </c>
      <c r="B29" s="8">
        <f t="shared" si="1"/>
        <v>6.2601727931013255E-3</v>
      </c>
    </row>
    <row r="30" spans="1:2" x14ac:dyDescent="0.35">
      <c r="A30" s="3">
        <f t="shared" si="0"/>
        <v>19</v>
      </c>
      <c r="B30" s="8">
        <f t="shared" si="1"/>
        <v>5.2168106609177716E-3</v>
      </c>
    </row>
    <row r="31" spans="1:2" x14ac:dyDescent="0.35">
      <c r="A31" s="3">
        <f t="shared" si="0"/>
        <v>20</v>
      </c>
      <c r="B31" s="8">
        <f t="shared" si="1"/>
        <v>4.347342217431477E-3</v>
      </c>
    </row>
    <row r="32" spans="1:2" x14ac:dyDescent="0.35">
      <c r="A32" s="3">
        <f t="shared" si="0"/>
        <v>21</v>
      </c>
      <c r="B32" s="8">
        <f t="shared" si="1"/>
        <v>3.622785181192897E-3</v>
      </c>
    </row>
    <row r="33" spans="1:2" x14ac:dyDescent="0.35">
      <c r="A33" s="3">
        <f t="shared" si="0"/>
        <v>22</v>
      </c>
      <c r="B33" s="8">
        <f t="shared" si="1"/>
        <v>3.0189876509940814E-3</v>
      </c>
    </row>
    <row r="34" spans="1:2" x14ac:dyDescent="0.35">
      <c r="A34" s="3">
        <f t="shared" si="0"/>
        <v>23</v>
      </c>
      <c r="B34" s="8">
        <f t="shared" si="1"/>
        <v>2.5158230424950682E-3</v>
      </c>
    </row>
    <row r="35" spans="1:2" x14ac:dyDescent="0.35">
      <c r="A35" s="3">
        <f t="shared" si="0"/>
        <v>24</v>
      </c>
      <c r="B35" s="8">
        <f t="shared" si="1"/>
        <v>2.0965192020792238E-3</v>
      </c>
    </row>
    <row r="36" spans="1:2" x14ac:dyDescent="0.35">
      <c r="A36" s="3">
        <f t="shared" si="0"/>
        <v>25</v>
      </c>
      <c r="B36" s="8">
        <f t="shared" si="1"/>
        <v>1.7470993350660199E-3</v>
      </c>
    </row>
    <row r="37" spans="1:2" x14ac:dyDescent="0.35">
      <c r="A37" s="3">
        <f t="shared" si="0"/>
        <v>26</v>
      </c>
      <c r="B37" s="8">
        <f t="shared" si="1"/>
        <v>1.4559161125550165E-3</v>
      </c>
    </row>
    <row r="38" spans="1:2" x14ac:dyDescent="0.35">
      <c r="A38" s="3">
        <f t="shared" si="0"/>
        <v>27</v>
      </c>
      <c r="B38" s="8">
        <f t="shared" si="1"/>
        <v>1.2132634271291806E-3</v>
      </c>
    </row>
    <row r="39" spans="1:2" x14ac:dyDescent="0.35">
      <c r="A39" s="3">
        <f t="shared" si="0"/>
        <v>28</v>
      </c>
      <c r="B39" s="8">
        <f t="shared" si="1"/>
        <v>1.011052855940984E-3</v>
      </c>
    </row>
    <row r="40" spans="1:2" x14ac:dyDescent="0.35">
      <c r="A40" s="3">
        <f t="shared" si="0"/>
        <v>29</v>
      </c>
      <c r="B40" s="8">
        <f t="shared" si="1"/>
        <v>8.4254404661748665E-4</v>
      </c>
    </row>
    <row r="41" spans="1:2" x14ac:dyDescent="0.35">
      <c r="A41" s="3">
        <f t="shared" si="0"/>
        <v>30</v>
      </c>
      <c r="B41" s="8">
        <f t="shared" si="1"/>
        <v>7.0212003884790577E-4</v>
      </c>
    </row>
    <row r="42" spans="1:2" x14ac:dyDescent="0.35">
      <c r="A42" s="3">
        <f t="shared" si="0"/>
        <v>31</v>
      </c>
      <c r="B42" s="8">
        <f t="shared" si="1"/>
        <v>5.8510003237325476E-4</v>
      </c>
    </row>
    <row r="43" spans="1:2" x14ac:dyDescent="0.35">
      <c r="A43" s="3">
        <f t="shared" si="0"/>
        <v>32</v>
      </c>
      <c r="B43" s="8">
        <f t="shared" si="1"/>
        <v>4.8758336031104563E-4</v>
      </c>
    </row>
    <row r="44" spans="1:2" x14ac:dyDescent="0.35">
      <c r="A44" s="3">
        <f t="shared" si="0"/>
        <v>33</v>
      </c>
      <c r="B44" s="8">
        <f t="shared" si="1"/>
        <v>4.0631946692587138E-4</v>
      </c>
    </row>
    <row r="45" spans="1:2" x14ac:dyDescent="0.35">
      <c r="A45" s="3">
        <f t="shared" si="0"/>
        <v>34</v>
      </c>
      <c r="B45" s="8">
        <f t="shared" si="1"/>
        <v>3.3859955577155955E-4</v>
      </c>
    </row>
    <row r="46" spans="1:2" x14ac:dyDescent="0.35">
      <c r="A46" s="3">
        <f t="shared" si="0"/>
        <v>35</v>
      </c>
      <c r="B46" s="8">
        <f t="shared" si="1"/>
        <v>2.821662964762996E-4</v>
      </c>
    </row>
    <row r="47" spans="1:2" x14ac:dyDescent="0.35">
      <c r="A47" s="3">
        <f t="shared" si="0"/>
        <v>36</v>
      </c>
      <c r="B47" s="8">
        <f t="shared" si="1"/>
        <v>2.3513858039691634E-4</v>
      </c>
    </row>
    <row r="48" spans="1:2" x14ac:dyDescent="0.35">
      <c r="A48" s="3">
        <f t="shared" si="0"/>
        <v>37</v>
      </c>
      <c r="B48" s="8">
        <f t="shared" si="1"/>
        <v>1.9594881699743028E-4</v>
      </c>
    </row>
    <row r="49" spans="1:2" x14ac:dyDescent="0.35">
      <c r="A49" s="3">
        <f t="shared" si="0"/>
        <v>38</v>
      </c>
      <c r="B49" s="8">
        <f t="shared" si="1"/>
        <v>1.6329068083119195E-4</v>
      </c>
    </row>
    <row r="50" spans="1:2" x14ac:dyDescent="0.35">
      <c r="A50" s="3">
        <f t="shared" si="0"/>
        <v>39</v>
      </c>
      <c r="B50" s="8">
        <f t="shared" si="1"/>
        <v>1.3607556735932661E-4</v>
      </c>
    </row>
    <row r="51" spans="1:2" x14ac:dyDescent="0.35">
      <c r="A51" s="3">
        <f t="shared" si="0"/>
        <v>40</v>
      </c>
      <c r="B51" s="8">
        <f t="shared" si="1"/>
        <v>1.133963061327722E-4</v>
      </c>
    </row>
    <row r="52" spans="1:2" x14ac:dyDescent="0.35">
      <c r="A52" s="3">
        <f t="shared" si="0"/>
        <v>41</v>
      </c>
      <c r="B52" s="9">
        <f t="shared" si="1"/>
        <v>9.4496921777310173E-5</v>
      </c>
    </row>
    <row r="53" spans="1:2" x14ac:dyDescent="0.35">
      <c r="A53" s="3">
        <f>A52+1</f>
        <v>42</v>
      </c>
      <c r="B53" s="9">
        <f t="shared" si="1"/>
        <v>7.8747434814425144E-5</v>
      </c>
    </row>
    <row r="54" spans="1:2" x14ac:dyDescent="0.35">
      <c r="A54" s="3">
        <f t="shared" si="0"/>
        <v>43</v>
      </c>
      <c r="B54" s="9">
        <f t="shared" si="1"/>
        <v>6.5622862345354293E-5</v>
      </c>
    </row>
    <row r="55" spans="1:2" x14ac:dyDescent="0.35">
      <c r="A55" s="3">
        <f t="shared" si="0"/>
        <v>44</v>
      </c>
      <c r="B55" s="9">
        <f t="shared" si="1"/>
        <v>5.4685718621128582E-5</v>
      </c>
    </row>
    <row r="56" spans="1:2" x14ac:dyDescent="0.35">
      <c r="A56" s="3">
        <f t="shared" si="0"/>
        <v>45</v>
      </c>
      <c r="B56" s="9">
        <f t="shared" si="1"/>
        <v>4.5571432184273823E-5</v>
      </c>
    </row>
    <row r="57" spans="1:2" x14ac:dyDescent="0.35">
      <c r="A57" s="3">
        <f t="shared" si="0"/>
        <v>46</v>
      </c>
      <c r="B57" s="9">
        <f t="shared" si="1"/>
        <v>3.7976193486894858E-5</v>
      </c>
    </row>
    <row r="58" spans="1:2" x14ac:dyDescent="0.35">
      <c r="A58" s="3">
        <f t="shared" si="0"/>
        <v>47</v>
      </c>
      <c r="B58" s="9">
        <f t="shared" si="1"/>
        <v>3.1646827905745718E-5</v>
      </c>
    </row>
    <row r="59" spans="1:2" x14ac:dyDescent="0.35">
      <c r="A59" s="3">
        <f>A58+1</f>
        <v>48</v>
      </c>
      <c r="B59" s="9">
        <f t="shared" si="1"/>
        <v>2.6372356588121431E-5</v>
      </c>
    </row>
    <row r="60" spans="1:2" x14ac:dyDescent="0.35">
      <c r="A60" s="3">
        <f t="shared" si="0"/>
        <v>49</v>
      </c>
      <c r="B60" s="9">
        <f t="shared" si="1"/>
        <v>2.1976963823434527E-5</v>
      </c>
    </row>
    <row r="61" spans="1:2" x14ac:dyDescent="0.35">
      <c r="A61" s="3">
        <f t="shared" si="0"/>
        <v>50</v>
      </c>
      <c r="B61" s="9">
        <f t="shared" si="1"/>
        <v>1.8314136519528773E-5</v>
      </c>
    </row>
    <row r="62" spans="1:2" x14ac:dyDescent="0.35">
      <c r="A62" s="3">
        <f t="shared" si="0"/>
        <v>51</v>
      </c>
      <c r="B62" s="9">
        <f t="shared" si="1"/>
        <v>1.5261780432940646E-5</v>
      </c>
    </row>
    <row r="63" spans="1:2" x14ac:dyDescent="0.35">
      <c r="A63" s="3">
        <f t="shared" si="0"/>
        <v>52</v>
      </c>
      <c r="B63" s="9">
        <f t="shared" si="1"/>
        <v>1.2718150360783875E-5</v>
      </c>
    </row>
    <row r="64" spans="1:2" x14ac:dyDescent="0.35">
      <c r="A64" s="3">
        <f t="shared" si="0"/>
        <v>53</v>
      </c>
      <c r="B64" s="9">
        <f t="shared" si="1"/>
        <v>1.059845863398656E-5</v>
      </c>
    </row>
    <row r="65" spans="1:2" x14ac:dyDescent="0.35">
      <c r="A65" s="3">
        <f t="shared" si="0"/>
        <v>54</v>
      </c>
      <c r="B65" s="9">
        <f t="shared" si="1"/>
        <v>8.8320488616554692E-6</v>
      </c>
    </row>
    <row r="66" spans="1:2" x14ac:dyDescent="0.35">
      <c r="A66" s="3">
        <f t="shared" si="0"/>
        <v>55</v>
      </c>
      <c r="B66" s="9">
        <f t="shared" si="1"/>
        <v>7.3600407180462238E-6</v>
      </c>
    </row>
    <row r="67" spans="1:2" x14ac:dyDescent="0.35">
      <c r="A67" s="3">
        <f t="shared" si="0"/>
        <v>56</v>
      </c>
      <c r="B67" s="9">
        <f t="shared" si="1"/>
        <v>6.1333672650385211E-6</v>
      </c>
    </row>
    <row r="68" spans="1:2" x14ac:dyDescent="0.35">
      <c r="A68" s="3">
        <f t="shared" si="0"/>
        <v>57</v>
      </c>
      <c r="B68" s="9">
        <f t="shared" si="1"/>
        <v>5.1111393875321018E-6</v>
      </c>
    </row>
    <row r="69" spans="1:2" x14ac:dyDescent="0.35">
      <c r="A69" s="3">
        <f t="shared" si="0"/>
        <v>58</v>
      </c>
      <c r="B69" s="9">
        <f t="shared" si="1"/>
        <v>4.2592828229434183E-6</v>
      </c>
    </row>
    <row r="70" spans="1:2" x14ac:dyDescent="0.35">
      <c r="A70" s="3">
        <f t="shared" si="0"/>
        <v>59</v>
      </c>
      <c r="B70" s="9">
        <f t="shared" si="1"/>
        <v>3.5494023524528487E-6</v>
      </c>
    </row>
    <row r="71" spans="1:2" x14ac:dyDescent="0.35">
      <c r="A71" s="3">
        <f t="shared" si="0"/>
        <v>60</v>
      </c>
      <c r="B71" s="9">
        <f t="shared" si="1"/>
        <v>2.9578352937107075E-6</v>
      </c>
    </row>
    <row r="72" spans="1:2" x14ac:dyDescent="0.35">
      <c r="A72" s="3">
        <f t="shared" si="0"/>
        <v>61</v>
      </c>
      <c r="B72" s="9">
        <f t="shared" si="1"/>
        <v>2.4648627447589232E-6</v>
      </c>
    </row>
    <row r="73" spans="1:2" x14ac:dyDescent="0.35">
      <c r="A73" s="3">
        <f t="shared" si="0"/>
        <v>62</v>
      </c>
      <c r="B73" s="9">
        <f t="shared" si="1"/>
        <v>2.0540522872991032E-6</v>
      </c>
    </row>
    <row r="74" spans="1:2" x14ac:dyDescent="0.35">
      <c r="A74" s="3">
        <f t="shared" si="0"/>
        <v>63</v>
      </c>
      <c r="B74" s="9">
        <f t="shared" si="1"/>
        <v>1.7117102394159193E-6</v>
      </c>
    </row>
    <row r="75" spans="1:2" x14ac:dyDescent="0.35">
      <c r="A75" s="3">
        <f t="shared" si="0"/>
        <v>64</v>
      </c>
      <c r="B75" s="9">
        <f t="shared" si="1"/>
        <v>1.4264251995132662E-6</v>
      </c>
    </row>
    <row r="76" spans="1:2" x14ac:dyDescent="0.35">
      <c r="A76" s="3">
        <f t="shared" si="0"/>
        <v>65</v>
      </c>
      <c r="B76" s="9">
        <f t="shared" si="1"/>
        <v>1.188687666261055E-6</v>
      </c>
    </row>
    <row r="77" spans="1:2" x14ac:dyDescent="0.35">
      <c r="A77" s="3">
        <f t="shared" si="0"/>
        <v>66</v>
      </c>
      <c r="B77" s="9">
        <f t="shared" si="1"/>
        <v>9.9057305521754609E-7</v>
      </c>
    </row>
    <row r="78" spans="1:2" x14ac:dyDescent="0.35">
      <c r="A78" s="3">
        <f t="shared" ref="A78:A79" si="2">A77+1</f>
        <v>67</v>
      </c>
      <c r="B78" s="9">
        <f t="shared" ref="B78:B91" si="3">(($C$3)^A78)*$B$11</f>
        <v>8.2547754601462174E-7</v>
      </c>
    </row>
    <row r="79" spans="1:2" x14ac:dyDescent="0.35">
      <c r="A79" s="3">
        <f t="shared" si="2"/>
        <v>68</v>
      </c>
      <c r="B79" s="9">
        <f t="shared" si="3"/>
        <v>6.8789795501218479E-7</v>
      </c>
    </row>
    <row r="80" spans="1:2" x14ac:dyDescent="0.35">
      <c r="A80" s="3">
        <f>A79+1</f>
        <v>69</v>
      </c>
      <c r="B80" s="9">
        <f t="shared" si="3"/>
        <v>5.7324829584348741E-7</v>
      </c>
    </row>
    <row r="81" spans="1:2" x14ac:dyDescent="0.35">
      <c r="A81" s="3">
        <f t="shared" ref="A81:A91" si="4">A80+1</f>
        <v>70</v>
      </c>
      <c r="B81" s="9">
        <f t="shared" si="3"/>
        <v>4.7770691320290619E-7</v>
      </c>
    </row>
    <row r="82" spans="1:2" x14ac:dyDescent="0.35">
      <c r="A82" s="3">
        <f t="shared" si="4"/>
        <v>71</v>
      </c>
      <c r="B82" s="9">
        <f t="shared" si="3"/>
        <v>3.9808909433575516E-7</v>
      </c>
    </row>
    <row r="83" spans="1:2" x14ac:dyDescent="0.35">
      <c r="A83" s="3">
        <f t="shared" si="4"/>
        <v>72</v>
      </c>
      <c r="B83" s="9">
        <f t="shared" si="3"/>
        <v>3.3174091194646276E-7</v>
      </c>
    </row>
    <row r="84" spans="1:2" x14ac:dyDescent="0.35">
      <c r="A84" s="3">
        <f t="shared" si="4"/>
        <v>73</v>
      </c>
      <c r="B84" s="9">
        <f t="shared" si="3"/>
        <v>2.7645075995538563E-7</v>
      </c>
    </row>
    <row r="85" spans="1:2" x14ac:dyDescent="0.35">
      <c r="A85" s="3">
        <f t="shared" si="4"/>
        <v>74</v>
      </c>
      <c r="B85" s="9">
        <f t="shared" si="3"/>
        <v>2.3037563329615471E-7</v>
      </c>
    </row>
    <row r="86" spans="1:2" x14ac:dyDescent="0.35">
      <c r="A86" s="3">
        <f t="shared" si="4"/>
        <v>75</v>
      </c>
      <c r="B86" s="9">
        <f t="shared" si="3"/>
        <v>1.9197969441346228E-7</v>
      </c>
    </row>
    <row r="87" spans="1:2" x14ac:dyDescent="0.35">
      <c r="A87" s="3">
        <f t="shared" si="4"/>
        <v>76</v>
      </c>
      <c r="B87" s="9">
        <f t="shared" si="3"/>
        <v>1.5998307867788523E-7</v>
      </c>
    </row>
    <row r="88" spans="1:2" x14ac:dyDescent="0.35">
      <c r="A88" s="3">
        <f t="shared" si="4"/>
        <v>77</v>
      </c>
      <c r="B88" s="9">
        <f t="shared" si="3"/>
        <v>1.3331923223157102E-7</v>
      </c>
    </row>
    <row r="89" spans="1:2" x14ac:dyDescent="0.35">
      <c r="A89" s="3">
        <f t="shared" si="4"/>
        <v>78</v>
      </c>
      <c r="B89" s="9">
        <f t="shared" si="3"/>
        <v>1.1109936019297588E-7</v>
      </c>
    </row>
    <row r="90" spans="1:2" x14ac:dyDescent="0.35">
      <c r="A90" s="3">
        <f t="shared" si="4"/>
        <v>79</v>
      </c>
      <c r="B90" s="9">
        <f t="shared" si="3"/>
        <v>9.2582800160813233E-8</v>
      </c>
    </row>
    <row r="91" spans="1:2" x14ac:dyDescent="0.35">
      <c r="A91" s="3">
        <f t="shared" si="4"/>
        <v>80</v>
      </c>
      <c r="B91" s="9">
        <f t="shared" si="3"/>
        <v>7.7152333467344372E-8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40A3-EAE8-44C2-9EAD-528FF40D273B}">
  <dimension ref="A1:C10"/>
  <sheetViews>
    <sheetView workbookViewId="0">
      <selection sqref="A1:C10"/>
    </sheetView>
  </sheetViews>
  <sheetFormatPr defaultRowHeight="14.5" x14ac:dyDescent="0.35"/>
  <sheetData>
    <row r="1" spans="1:3" x14ac:dyDescent="0.35">
      <c r="A1" s="5" t="s">
        <v>6</v>
      </c>
      <c r="B1" s="3"/>
      <c r="C1" s="10">
        <f>15/480</f>
        <v>3.125E-2</v>
      </c>
    </row>
    <row r="2" spans="1:3" x14ac:dyDescent="0.35">
      <c r="A2" s="5" t="s">
        <v>1</v>
      </c>
      <c r="B2" s="3"/>
      <c r="C2" s="3">
        <f>1/20</f>
        <v>0.05</v>
      </c>
    </row>
    <row r="3" spans="1:3" x14ac:dyDescent="0.35">
      <c r="A3" s="5" t="s">
        <v>0</v>
      </c>
      <c r="B3" s="3" t="s">
        <v>13</v>
      </c>
      <c r="C3" s="3">
        <f>C1/C2</f>
        <v>0.625</v>
      </c>
    </row>
    <row r="4" spans="1:3" ht="17" x14ac:dyDescent="0.45">
      <c r="A4" s="5" t="s">
        <v>2</v>
      </c>
      <c r="B4" s="3" t="s">
        <v>7</v>
      </c>
      <c r="C4" s="3">
        <f>C1/(C2-C1)</f>
        <v>1.6666666666666665</v>
      </c>
    </row>
    <row r="5" spans="1:3" ht="17" x14ac:dyDescent="0.45">
      <c r="A5" s="5" t="s">
        <v>3</v>
      </c>
      <c r="B5" s="3" t="s">
        <v>8</v>
      </c>
      <c r="C5" s="3">
        <f>C3*C4</f>
        <v>1.0416666666666665</v>
      </c>
    </row>
    <row r="6" spans="1:3" ht="17" x14ac:dyDescent="0.45">
      <c r="A6" s="5" t="s">
        <v>4</v>
      </c>
      <c r="B6" s="3" t="s">
        <v>9</v>
      </c>
      <c r="C6" s="3">
        <f>1/(C2-C1)</f>
        <v>53.333333333333329</v>
      </c>
    </row>
    <row r="7" spans="1:3" ht="17" x14ac:dyDescent="0.45">
      <c r="A7" s="5" t="s">
        <v>5</v>
      </c>
      <c r="B7" s="3" t="s">
        <v>10</v>
      </c>
      <c r="C7" s="3">
        <f>C3*C6</f>
        <v>33.333333333333329</v>
      </c>
    </row>
    <row r="8" spans="1:3" ht="17" x14ac:dyDescent="0.45">
      <c r="A8" s="5"/>
      <c r="B8" s="3"/>
      <c r="C8" s="3"/>
    </row>
    <row r="9" spans="1:3" x14ac:dyDescent="0.35">
      <c r="A9" s="7" t="s">
        <v>79</v>
      </c>
      <c r="B9" s="3" t="s">
        <v>80</v>
      </c>
      <c r="C9" s="3"/>
    </row>
    <row r="10" spans="1:3" ht="17" x14ac:dyDescent="0.45">
      <c r="A10" s="5" t="s">
        <v>15</v>
      </c>
      <c r="B10" s="3" t="s">
        <v>14</v>
      </c>
      <c r="C10" s="3">
        <f>C2/(C2-C1)</f>
        <v>2.6666666666666665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2C57-20BF-46B0-8876-4CF59357B5D9}">
  <dimension ref="A1:B60"/>
  <sheetViews>
    <sheetView workbookViewId="0">
      <selection activeCell="A9" sqref="A9:B60"/>
    </sheetView>
  </sheetViews>
  <sheetFormatPr defaultRowHeight="14.5" x14ac:dyDescent="0.35"/>
  <cols>
    <col min="2" max="2" width="12.36328125" customWidth="1"/>
  </cols>
  <sheetData>
    <row r="1" spans="1:2" x14ac:dyDescent="0.35">
      <c r="A1" s="5" t="s">
        <v>1</v>
      </c>
      <c r="B1" s="3">
        <v>33</v>
      </c>
    </row>
    <row r="2" spans="1:2" x14ac:dyDescent="0.35">
      <c r="A2" s="5" t="s">
        <v>6</v>
      </c>
      <c r="B2" s="3">
        <v>15</v>
      </c>
    </row>
    <row r="3" spans="1:2" x14ac:dyDescent="0.35">
      <c r="A3" s="7" t="s">
        <v>16</v>
      </c>
      <c r="B3" s="3">
        <v>50</v>
      </c>
    </row>
    <row r="4" spans="1:2" x14ac:dyDescent="0.35">
      <c r="A4" s="5" t="s">
        <v>0</v>
      </c>
      <c r="B4" s="11">
        <f>B2/B1</f>
        <v>0.45454545454545453</v>
      </c>
    </row>
    <row r="5" spans="1:2" ht="17" x14ac:dyDescent="0.45">
      <c r="A5" s="5" t="s">
        <v>2</v>
      </c>
      <c r="B5" s="3">
        <v>0.83</v>
      </c>
    </row>
    <row r="6" spans="1:2" ht="17" x14ac:dyDescent="0.45">
      <c r="A6" s="5" t="s">
        <v>3</v>
      </c>
      <c r="B6" s="3">
        <v>0.38</v>
      </c>
    </row>
    <row r="9" spans="1:2" x14ac:dyDescent="0.35">
      <c r="A9" s="5" t="s">
        <v>11</v>
      </c>
      <c r="B9" s="7" t="s">
        <v>12</v>
      </c>
    </row>
    <row r="10" spans="1:2" x14ac:dyDescent="0.35">
      <c r="A10" s="3">
        <v>0</v>
      </c>
      <c r="B10" s="11">
        <f>1-B4</f>
        <v>0.54545454545454541</v>
      </c>
    </row>
    <row r="11" spans="1:2" x14ac:dyDescent="0.35">
      <c r="A11" s="3">
        <f>A10+1</f>
        <v>1</v>
      </c>
      <c r="B11" s="3">
        <f>(($B$4)^A11)*$B$10</f>
        <v>0.24793388429752064</v>
      </c>
    </row>
    <row r="12" spans="1:2" x14ac:dyDescent="0.35">
      <c r="A12" s="3">
        <f t="shared" ref="A12:A60" si="0">A11+1</f>
        <v>2</v>
      </c>
      <c r="B12" s="3">
        <f t="shared" ref="B12:B60" si="1">(($B$4)^A12)*$B$10</f>
        <v>0.11269722013523664</v>
      </c>
    </row>
    <row r="13" spans="1:2" x14ac:dyDescent="0.35">
      <c r="A13" s="3">
        <f t="shared" si="0"/>
        <v>3</v>
      </c>
      <c r="B13" s="3">
        <f t="shared" si="1"/>
        <v>5.1226009152380292E-2</v>
      </c>
    </row>
    <row r="14" spans="1:2" x14ac:dyDescent="0.35">
      <c r="A14" s="3">
        <f t="shared" si="0"/>
        <v>4</v>
      </c>
      <c r="B14" s="3">
        <f t="shared" si="1"/>
        <v>2.3284549614718313E-2</v>
      </c>
    </row>
    <row r="15" spans="1:2" x14ac:dyDescent="0.35">
      <c r="A15" s="3">
        <f t="shared" si="0"/>
        <v>5</v>
      </c>
      <c r="B15" s="3">
        <f t="shared" si="1"/>
        <v>1.0583886188508324E-2</v>
      </c>
    </row>
    <row r="16" spans="1:2" x14ac:dyDescent="0.35">
      <c r="A16" s="3">
        <f t="shared" si="0"/>
        <v>6</v>
      </c>
      <c r="B16" s="3">
        <f t="shared" si="1"/>
        <v>4.810857358412874E-3</v>
      </c>
    </row>
    <row r="17" spans="1:2" x14ac:dyDescent="0.35">
      <c r="A17" s="3">
        <f t="shared" si="0"/>
        <v>7</v>
      </c>
      <c r="B17" s="3">
        <f t="shared" si="1"/>
        <v>2.1867533447331245E-3</v>
      </c>
    </row>
    <row r="18" spans="1:2" x14ac:dyDescent="0.35">
      <c r="A18" s="3">
        <f t="shared" si="0"/>
        <v>8</v>
      </c>
      <c r="B18" s="3">
        <f t="shared" si="1"/>
        <v>9.939787930605111E-4</v>
      </c>
    </row>
    <row r="19" spans="1:2" x14ac:dyDescent="0.35">
      <c r="A19" s="3">
        <f t="shared" si="0"/>
        <v>9</v>
      </c>
      <c r="B19" s="3">
        <f t="shared" si="1"/>
        <v>4.5180854230023228E-4</v>
      </c>
    </row>
    <row r="20" spans="1:2" x14ac:dyDescent="0.35">
      <c r="A20" s="3">
        <f t="shared" si="0"/>
        <v>10</v>
      </c>
      <c r="B20" s="3">
        <f t="shared" si="1"/>
        <v>2.053675192273783E-4</v>
      </c>
    </row>
    <row r="21" spans="1:2" x14ac:dyDescent="0.35">
      <c r="A21" s="3">
        <f t="shared" si="0"/>
        <v>11</v>
      </c>
      <c r="B21" s="3">
        <f t="shared" si="1"/>
        <v>9.3348872376081043E-5</v>
      </c>
    </row>
    <row r="22" spans="1:2" x14ac:dyDescent="0.35">
      <c r="A22" s="3">
        <f t="shared" si="0"/>
        <v>12</v>
      </c>
      <c r="B22" s="3">
        <f t="shared" si="1"/>
        <v>4.243130562549138E-5</v>
      </c>
    </row>
    <row r="23" spans="1:2" x14ac:dyDescent="0.35">
      <c r="A23" s="3">
        <f t="shared" si="0"/>
        <v>13</v>
      </c>
      <c r="B23" s="3">
        <f t="shared" si="1"/>
        <v>1.9286957102496078E-5</v>
      </c>
    </row>
    <row r="24" spans="1:2" x14ac:dyDescent="0.35">
      <c r="A24" s="3">
        <f t="shared" si="0"/>
        <v>14</v>
      </c>
      <c r="B24" s="3">
        <f t="shared" si="1"/>
        <v>8.7667986829527619E-6</v>
      </c>
    </row>
    <row r="25" spans="1:2" x14ac:dyDescent="0.35">
      <c r="A25" s="3">
        <f t="shared" si="0"/>
        <v>15</v>
      </c>
      <c r="B25" s="3">
        <f t="shared" si="1"/>
        <v>3.9849084922512559E-6</v>
      </c>
    </row>
    <row r="26" spans="1:2" x14ac:dyDescent="0.35">
      <c r="A26" s="3">
        <f t="shared" si="0"/>
        <v>16</v>
      </c>
      <c r="B26" s="3">
        <f t="shared" si="1"/>
        <v>1.8113220419323888E-6</v>
      </c>
    </row>
    <row r="27" spans="1:2" x14ac:dyDescent="0.35">
      <c r="A27" s="3">
        <f t="shared" si="0"/>
        <v>17</v>
      </c>
      <c r="B27" s="3">
        <f t="shared" si="1"/>
        <v>8.2332820087835859E-7</v>
      </c>
    </row>
    <row r="28" spans="1:2" x14ac:dyDescent="0.35">
      <c r="A28" s="3">
        <f t="shared" si="0"/>
        <v>18</v>
      </c>
      <c r="B28" s="3">
        <f t="shared" si="1"/>
        <v>3.7424009130834478E-7</v>
      </c>
    </row>
    <row r="29" spans="1:2" x14ac:dyDescent="0.35">
      <c r="A29" s="3">
        <f t="shared" si="0"/>
        <v>19</v>
      </c>
      <c r="B29" s="3">
        <f t="shared" si="1"/>
        <v>1.7010913241288399E-7</v>
      </c>
    </row>
    <row r="30" spans="1:2" x14ac:dyDescent="0.35">
      <c r="A30" s="3">
        <f t="shared" si="0"/>
        <v>20</v>
      </c>
      <c r="B30" s="3">
        <f t="shared" si="1"/>
        <v>7.7322332914947251E-8</v>
      </c>
    </row>
    <row r="31" spans="1:2" x14ac:dyDescent="0.35">
      <c r="A31" s="3">
        <f t="shared" si="0"/>
        <v>21</v>
      </c>
      <c r="B31" s="3">
        <f t="shared" si="1"/>
        <v>3.5146514961339667E-8</v>
      </c>
    </row>
    <row r="32" spans="1:2" x14ac:dyDescent="0.35">
      <c r="A32" s="3">
        <f t="shared" si="0"/>
        <v>22</v>
      </c>
      <c r="B32" s="3">
        <f t="shared" si="1"/>
        <v>1.5975688618790755E-8</v>
      </c>
    </row>
    <row r="33" spans="1:2" x14ac:dyDescent="0.35">
      <c r="A33" s="3">
        <f t="shared" si="0"/>
        <v>23</v>
      </c>
      <c r="B33" s="3">
        <f t="shared" si="1"/>
        <v>7.2616766449048878E-9</v>
      </c>
    </row>
    <row r="34" spans="1:2" x14ac:dyDescent="0.35">
      <c r="A34" s="3">
        <f t="shared" si="0"/>
        <v>24</v>
      </c>
      <c r="B34" s="3">
        <f t="shared" si="1"/>
        <v>3.3007621113204029E-9</v>
      </c>
    </row>
    <row r="35" spans="1:2" x14ac:dyDescent="0.35">
      <c r="A35" s="3">
        <f t="shared" si="0"/>
        <v>25</v>
      </c>
      <c r="B35" s="3">
        <f t="shared" si="1"/>
        <v>1.500346414236547E-9</v>
      </c>
    </row>
    <row r="36" spans="1:2" x14ac:dyDescent="0.35">
      <c r="A36" s="3">
        <f t="shared" si="0"/>
        <v>26</v>
      </c>
      <c r="B36" s="3">
        <f t="shared" si="1"/>
        <v>6.8197564283479394E-10</v>
      </c>
    </row>
    <row r="37" spans="1:2" x14ac:dyDescent="0.35">
      <c r="A37" s="3">
        <f t="shared" si="0"/>
        <v>27</v>
      </c>
      <c r="B37" s="3">
        <f t="shared" si="1"/>
        <v>3.0998892856127E-10</v>
      </c>
    </row>
    <row r="38" spans="1:2" x14ac:dyDescent="0.35">
      <c r="A38" s="3">
        <f t="shared" si="0"/>
        <v>28</v>
      </c>
      <c r="B38" s="3">
        <f t="shared" si="1"/>
        <v>1.4090405843694092E-10</v>
      </c>
    </row>
    <row r="39" spans="1:2" x14ac:dyDescent="0.35">
      <c r="A39" s="3">
        <f t="shared" si="0"/>
        <v>29</v>
      </c>
      <c r="B39" s="3">
        <f t="shared" si="1"/>
        <v>6.4047299289518578E-11</v>
      </c>
    </row>
    <row r="40" spans="1:2" x14ac:dyDescent="0.35">
      <c r="A40" s="3">
        <f t="shared" si="0"/>
        <v>30</v>
      </c>
      <c r="B40" s="3">
        <f t="shared" si="1"/>
        <v>2.9112408767962989E-11</v>
      </c>
    </row>
    <row r="41" spans="1:2" x14ac:dyDescent="0.35">
      <c r="A41" s="3">
        <f t="shared" si="0"/>
        <v>31</v>
      </c>
      <c r="B41" s="3">
        <f>(($B$4)^A41)*$B$10</f>
        <v>1.3232913076346813E-11</v>
      </c>
    </row>
    <row r="42" spans="1:2" x14ac:dyDescent="0.35">
      <c r="A42" s="3">
        <f t="shared" si="0"/>
        <v>32</v>
      </c>
      <c r="B42" s="3">
        <f t="shared" si="1"/>
        <v>6.0149604892485515E-12</v>
      </c>
    </row>
    <row r="43" spans="1:2" x14ac:dyDescent="0.35">
      <c r="A43" s="3">
        <f t="shared" si="0"/>
        <v>33</v>
      </c>
      <c r="B43" s="3">
        <f t="shared" si="1"/>
        <v>2.7340729496584325E-12</v>
      </c>
    </row>
    <row r="44" spans="1:2" x14ac:dyDescent="0.35">
      <c r="A44" s="3">
        <f t="shared" si="0"/>
        <v>34</v>
      </c>
      <c r="B44" s="3">
        <f t="shared" si="1"/>
        <v>1.2427604316629238E-12</v>
      </c>
    </row>
    <row r="45" spans="1:2" x14ac:dyDescent="0.35">
      <c r="A45" s="3">
        <f t="shared" si="0"/>
        <v>35</v>
      </c>
      <c r="B45" s="3">
        <f t="shared" si="1"/>
        <v>5.6489110530132901E-13</v>
      </c>
    </row>
    <row r="46" spans="1:2" x14ac:dyDescent="0.35">
      <c r="A46" s="3">
        <f t="shared" si="0"/>
        <v>36</v>
      </c>
      <c r="B46" s="3">
        <f t="shared" si="1"/>
        <v>2.5676868422787678E-13</v>
      </c>
    </row>
    <row r="47" spans="1:2" x14ac:dyDescent="0.35">
      <c r="A47" s="3">
        <f t="shared" si="0"/>
        <v>37</v>
      </c>
      <c r="B47" s="3">
        <f t="shared" si="1"/>
        <v>1.1671303828539853E-13</v>
      </c>
    </row>
    <row r="48" spans="1:2" x14ac:dyDescent="0.35">
      <c r="A48" s="3">
        <f t="shared" si="0"/>
        <v>38</v>
      </c>
      <c r="B48" s="3">
        <f t="shared" si="1"/>
        <v>5.3051381038817506E-14</v>
      </c>
    </row>
    <row r="49" spans="1:2" x14ac:dyDescent="0.35">
      <c r="A49" s="3">
        <f t="shared" si="0"/>
        <v>39</v>
      </c>
      <c r="B49" s="3">
        <f t="shared" si="1"/>
        <v>2.4114264108553414E-14</v>
      </c>
    </row>
    <row r="50" spans="1:2" x14ac:dyDescent="0.35">
      <c r="A50" s="3">
        <f t="shared" si="0"/>
        <v>40</v>
      </c>
      <c r="B50" s="3">
        <f t="shared" si="1"/>
        <v>1.0961029140251551E-14</v>
      </c>
    </row>
    <row r="51" spans="1:2" x14ac:dyDescent="0.35">
      <c r="A51" s="3">
        <f t="shared" si="0"/>
        <v>41</v>
      </c>
      <c r="B51" s="3">
        <f t="shared" si="1"/>
        <v>4.9822859728416141E-15</v>
      </c>
    </row>
    <row r="52" spans="1:2" x14ac:dyDescent="0.35">
      <c r="A52" s="3">
        <f t="shared" si="0"/>
        <v>42</v>
      </c>
      <c r="B52" s="3">
        <f t="shared" si="1"/>
        <v>2.2646754422007334E-15</v>
      </c>
    </row>
    <row r="53" spans="1:2" x14ac:dyDescent="0.35">
      <c r="A53" s="3">
        <f t="shared" si="0"/>
        <v>43</v>
      </c>
      <c r="B53" s="3">
        <f t="shared" si="1"/>
        <v>1.0293979282730607E-15</v>
      </c>
    </row>
    <row r="54" spans="1:2" x14ac:dyDescent="0.35">
      <c r="A54" s="3">
        <f t="shared" si="0"/>
        <v>44</v>
      </c>
      <c r="B54" s="3">
        <f t="shared" si="1"/>
        <v>4.6790814921502757E-16</v>
      </c>
    </row>
    <row r="55" spans="1:2" x14ac:dyDescent="0.35">
      <c r="A55" s="3">
        <f t="shared" si="0"/>
        <v>45</v>
      </c>
      <c r="B55" s="3">
        <f t="shared" si="1"/>
        <v>2.1268552237046702E-16</v>
      </c>
    </row>
    <row r="56" spans="1:2" x14ac:dyDescent="0.35">
      <c r="A56" s="3">
        <f t="shared" si="0"/>
        <v>46</v>
      </c>
      <c r="B56" s="3">
        <f t="shared" si="1"/>
        <v>9.6675237441121364E-17</v>
      </c>
    </row>
    <row r="57" spans="1:2" x14ac:dyDescent="0.35">
      <c r="A57" s="3">
        <f t="shared" si="0"/>
        <v>47</v>
      </c>
      <c r="B57" s="3">
        <f>(($B$4)^A57)*$B$10</f>
        <v>4.3943289745964261E-17</v>
      </c>
    </row>
    <row r="58" spans="1:2" x14ac:dyDescent="0.35">
      <c r="A58" s="3">
        <f t="shared" si="0"/>
        <v>48</v>
      </c>
      <c r="B58" s="3">
        <f t="shared" si="1"/>
        <v>1.9974222611801933E-17</v>
      </c>
    </row>
    <row r="59" spans="1:2" x14ac:dyDescent="0.35">
      <c r="A59" s="3">
        <f t="shared" si="0"/>
        <v>49</v>
      </c>
      <c r="B59" s="3">
        <f t="shared" si="1"/>
        <v>9.0791920962736059E-18</v>
      </c>
    </row>
    <row r="60" spans="1:2" x14ac:dyDescent="0.35">
      <c r="A60" s="3">
        <f t="shared" si="0"/>
        <v>50</v>
      </c>
      <c r="B60" s="3">
        <f t="shared" si="1"/>
        <v>4.1269054983061843E-18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FD9A-6338-4646-B718-C2E1A03C5E5F}">
  <dimension ref="A1:B12"/>
  <sheetViews>
    <sheetView workbookViewId="0">
      <selection activeCell="B12" sqref="A1:B12"/>
    </sheetView>
  </sheetViews>
  <sheetFormatPr defaultRowHeight="14.5" x14ac:dyDescent="0.35"/>
  <sheetData>
    <row r="1" spans="1:2" x14ac:dyDescent="0.35">
      <c r="A1" s="5" t="s">
        <v>6</v>
      </c>
      <c r="B1" s="3">
        <v>6</v>
      </c>
    </row>
    <row r="2" spans="1:2" x14ac:dyDescent="0.35">
      <c r="A2" s="5" t="s">
        <v>1</v>
      </c>
      <c r="B2" s="3">
        <v>12</v>
      </c>
    </row>
    <row r="3" spans="1:2" x14ac:dyDescent="0.35">
      <c r="A3" s="5" t="s">
        <v>0</v>
      </c>
      <c r="B3" s="11">
        <f>B1/B2</f>
        <v>0.5</v>
      </c>
    </row>
    <row r="4" spans="1:2" x14ac:dyDescent="0.35">
      <c r="A4" s="5" t="s">
        <v>16</v>
      </c>
      <c r="B4" s="3">
        <v>3</v>
      </c>
    </row>
    <row r="5" spans="1:2" ht="17" x14ac:dyDescent="0.45">
      <c r="A5" s="5" t="s">
        <v>2</v>
      </c>
      <c r="B5" s="3">
        <v>0.73</v>
      </c>
    </row>
    <row r="6" spans="1:2" ht="17" x14ac:dyDescent="0.45">
      <c r="A6" s="5" t="s">
        <v>3</v>
      </c>
      <c r="B6" s="3">
        <v>0.23400000000000001</v>
      </c>
    </row>
    <row r="8" spans="1:2" x14ac:dyDescent="0.35">
      <c r="A8" s="5" t="s">
        <v>11</v>
      </c>
      <c r="B8" s="7" t="s">
        <v>12</v>
      </c>
    </row>
    <row r="9" spans="1:2" x14ac:dyDescent="0.35">
      <c r="A9" s="3">
        <v>0</v>
      </c>
      <c r="B9" s="3">
        <f>1-B3</f>
        <v>0.5</v>
      </c>
    </row>
    <row r="10" spans="1:2" x14ac:dyDescent="0.35">
      <c r="A10" s="3">
        <v>1</v>
      </c>
      <c r="B10" s="3">
        <f>($B$3^A10)*$B$9</f>
        <v>0.25</v>
      </c>
    </row>
    <row r="11" spans="1:2" x14ac:dyDescent="0.35">
      <c r="A11" s="3">
        <v>2</v>
      </c>
      <c r="B11" s="3">
        <f t="shared" ref="B11:B12" si="0">($B$3^A11)*$B$9</f>
        <v>0.125</v>
      </c>
    </row>
    <row r="12" spans="1:2" x14ac:dyDescent="0.35">
      <c r="A12" s="3">
        <v>3</v>
      </c>
      <c r="B12" s="3">
        <f t="shared" si="0"/>
        <v>6.25E-2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F5E1-006E-433B-8FD5-4FCA2DB07AD9}">
  <dimension ref="A1:D16"/>
  <sheetViews>
    <sheetView workbookViewId="0">
      <selection activeCell="B15" sqref="B15:C17"/>
    </sheetView>
  </sheetViews>
  <sheetFormatPr defaultRowHeight="14.5" x14ac:dyDescent="0.35"/>
  <sheetData>
    <row r="1" spans="1:4" x14ac:dyDescent="0.35">
      <c r="A1" s="7" t="s">
        <v>17</v>
      </c>
      <c r="B1" s="3">
        <v>3</v>
      </c>
    </row>
    <row r="2" spans="1:4" x14ac:dyDescent="0.35">
      <c r="A2" s="5" t="s">
        <v>6</v>
      </c>
      <c r="B2" s="3">
        <v>6</v>
      </c>
    </row>
    <row r="3" spans="1:4" x14ac:dyDescent="0.35">
      <c r="A3" s="5" t="s">
        <v>1</v>
      </c>
      <c r="B3" s="3">
        <v>4</v>
      </c>
    </row>
    <row r="4" spans="1:4" x14ac:dyDescent="0.35">
      <c r="A4" s="5" t="s">
        <v>0</v>
      </c>
      <c r="B4" s="3">
        <f>B2/B3</f>
        <v>1.5</v>
      </c>
    </row>
    <row r="7" spans="1:4" ht="16.5" x14ac:dyDescent="0.45">
      <c r="A7" s="3"/>
      <c r="B7" s="7" t="s">
        <v>81</v>
      </c>
      <c r="C7" s="3">
        <v>0.2</v>
      </c>
    </row>
    <row r="8" spans="1:4" ht="17" x14ac:dyDescent="0.45">
      <c r="A8" s="3" t="s">
        <v>18</v>
      </c>
      <c r="B8" s="5" t="s">
        <v>2</v>
      </c>
      <c r="C8" s="3">
        <v>1.72</v>
      </c>
    </row>
    <row r="9" spans="1:4" ht="17" x14ac:dyDescent="0.45">
      <c r="A9" s="3" t="s">
        <v>19</v>
      </c>
      <c r="B9" s="5" t="s">
        <v>3</v>
      </c>
      <c r="C9" s="3">
        <v>0.22</v>
      </c>
    </row>
    <row r="10" spans="1:4" ht="17" x14ac:dyDescent="0.45">
      <c r="A10" s="3" t="s">
        <v>20</v>
      </c>
      <c r="B10" s="5" t="s">
        <v>4</v>
      </c>
      <c r="C10" s="3">
        <v>0.28999999999999998</v>
      </c>
      <c r="D10" s="3" t="s">
        <v>37</v>
      </c>
    </row>
    <row r="11" spans="1:4" ht="17" x14ac:dyDescent="0.45">
      <c r="A11" s="3" t="s">
        <v>21</v>
      </c>
      <c r="B11" s="5" t="s">
        <v>5</v>
      </c>
      <c r="C11" s="3">
        <v>0.04</v>
      </c>
      <c r="D11" s="3" t="s">
        <v>37</v>
      </c>
    </row>
    <row r="15" spans="1:4" x14ac:dyDescent="0.35">
      <c r="B15" t="s">
        <v>82</v>
      </c>
      <c r="C15">
        <v>0.26</v>
      </c>
    </row>
    <row r="16" spans="1:4" x14ac:dyDescent="0.35">
      <c r="B16" t="s">
        <v>83</v>
      </c>
      <c r="C16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AB7A-AABE-4D1E-8712-E59F4CE1C268}">
  <dimension ref="A1:B14"/>
  <sheetViews>
    <sheetView workbookViewId="0">
      <selection sqref="A1:B14"/>
    </sheetView>
  </sheetViews>
  <sheetFormatPr defaultRowHeight="14.5" x14ac:dyDescent="0.35"/>
  <sheetData>
    <row r="1" spans="1:2" x14ac:dyDescent="0.35">
      <c r="A1" s="5" t="s">
        <v>6</v>
      </c>
      <c r="B1" s="3">
        <v>2</v>
      </c>
    </row>
    <row r="2" spans="1:2" x14ac:dyDescent="0.35">
      <c r="A2" s="5" t="s">
        <v>1</v>
      </c>
      <c r="B2" s="3">
        <v>12</v>
      </c>
    </row>
    <row r="3" spans="1:2" x14ac:dyDescent="0.35">
      <c r="A3" s="7" t="s">
        <v>22</v>
      </c>
      <c r="B3" s="3">
        <v>5</v>
      </c>
    </row>
    <row r="4" spans="1:2" x14ac:dyDescent="0.35">
      <c r="A4" s="7" t="s">
        <v>23</v>
      </c>
      <c r="B4" s="3">
        <v>2</v>
      </c>
    </row>
    <row r="5" spans="1:2" x14ac:dyDescent="0.35">
      <c r="A5" s="5" t="s">
        <v>0</v>
      </c>
      <c r="B5" s="11">
        <f>B1/B2</f>
        <v>0.16666666666666666</v>
      </c>
    </row>
    <row r="6" spans="1:2" ht="17" x14ac:dyDescent="0.45">
      <c r="A6" s="5" t="s">
        <v>85</v>
      </c>
      <c r="B6" s="12">
        <v>0.45600000000000002</v>
      </c>
    </row>
    <row r="7" spans="1:2" x14ac:dyDescent="0.35">
      <c r="A7" s="3"/>
      <c r="B7" s="3"/>
    </row>
    <row r="8" spans="1:2" ht="16.5" x14ac:dyDescent="0.45">
      <c r="A8" s="7" t="s">
        <v>11</v>
      </c>
      <c r="B8" s="7" t="s">
        <v>84</v>
      </c>
    </row>
    <row r="9" spans="1:2" x14ac:dyDescent="0.35">
      <c r="A9" s="3">
        <v>0</v>
      </c>
      <c r="B9" s="11">
        <v>0.46</v>
      </c>
    </row>
    <row r="10" spans="1:2" x14ac:dyDescent="0.35">
      <c r="A10" s="3">
        <v>1</v>
      </c>
      <c r="B10" s="13">
        <v>0.38</v>
      </c>
    </row>
    <row r="11" spans="1:2" x14ac:dyDescent="0.35">
      <c r="A11" s="3">
        <v>2</v>
      </c>
      <c r="B11" s="13">
        <v>0.13</v>
      </c>
    </row>
    <row r="12" spans="1:2" x14ac:dyDescent="0.35">
      <c r="A12" s="3">
        <v>3</v>
      </c>
      <c r="B12" s="13">
        <v>0.03</v>
      </c>
    </row>
    <row r="13" spans="1:2" x14ac:dyDescent="0.35">
      <c r="A13" s="3">
        <v>4</v>
      </c>
      <c r="B13" s="13">
        <v>0.01</v>
      </c>
    </row>
    <row r="14" spans="1:2" x14ac:dyDescent="0.35">
      <c r="A14" s="3">
        <v>5</v>
      </c>
      <c r="B14" s="13">
        <f t="shared" ref="B14" si="0">($B$5^A14)*($B$9)</f>
        <v>5.9156378600823043E-5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EA03-E5A3-430E-B25C-0F1CC0B646F5}">
  <dimension ref="A1:F11"/>
  <sheetViews>
    <sheetView workbookViewId="0">
      <selection sqref="A1:F11"/>
    </sheetView>
  </sheetViews>
  <sheetFormatPr defaultRowHeight="14.5" x14ac:dyDescent="0.35"/>
  <sheetData>
    <row r="1" spans="1:6" x14ac:dyDescent="0.35">
      <c r="A1" s="4" t="s">
        <v>6</v>
      </c>
      <c r="B1" s="3">
        <v>3</v>
      </c>
      <c r="C1" s="3" t="s">
        <v>25</v>
      </c>
      <c r="D1" s="3"/>
      <c r="E1" s="3"/>
      <c r="F1" s="3"/>
    </row>
    <row r="2" spans="1:6" x14ac:dyDescent="0.35">
      <c r="A2" s="4" t="s">
        <v>1</v>
      </c>
      <c r="B2" s="3" t="s">
        <v>24</v>
      </c>
      <c r="C2" s="3"/>
      <c r="D2" s="3"/>
      <c r="E2" s="3"/>
      <c r="F2" s="3"/>
    </row>
    <row r="3" spans="1:6" x14ac:dyDescent="0.35">
      <c r="A3" s="3"/>
      <c r="B3" s="3"/>
      <c r="C3" s="3"/>
      <c r="D3" s="3"/>
      <c r="E3" s="3"/>
      <c r="F3" s="3"/>
    </row>
    <row r="4" spans="1:6" x14ac:dyDescent="0.35">
      <c r="A4" s="14" t="s">
        <v>26</v>
      </c>
      <c r="B4" s="14"/>
      <c r="C4" s="14"/>
      <c r="D4" s="14"/>
      <c r="E4" s="15" t="s">
        <v>27</v>
      </c>
      <c r="F4" s="15" t="s">
        <v>28</v>
      </c>
    </row>
    <row r="5" spans="1:6" x14ac:dyDescent="0.35">
      <c r="A5" s="14" t="s">
        <v>30</v>
      </c>
      <c r="B5" s="14"/>
      <c r="C5" s="14"/>
      <c r="D5" s="14"/>
      <c r="E5" s="16">
        <v>0.5</v>
      </c>
      <c r="F5" s="15" t="s">
        <v>29</v>
      </c>
    </row>
    <row r="6" spans="1:6" x14ac:dyDescent="0.35">
      <c r="A6" s="14" t="s">
        <v>31</v>
      </c>
      <c r="B6" s="14"/>
      <c r="C6" s="14"/>
      <c r="D6" s="14"/>
      <c r="E6" s="15">
        <v>2</v>
      </c>
      <c r="F6" s="15" t="s">
        <v>25</v>
      </c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ht="17" x14ac:dyDescent="0.45">
      <c r="A9" s="3" t="s">
        <v>18</v>
      </c>
      <c r="B9" s="4" t="s">
        <v>2</v>
      </c>
      <c r="C9" s="3" t="s">
        <v>13</v>
      </c>
      <c r="D9" s="3"/>
      <c r="E9" s="3">
        <f>B1/E6</f>
        <v>1.5</v>
      </c>
      <c r="F9" s="3"/>
    </row>
    <row r="10" spans="1:6" x14ac:dyDescent="0.35">
      <c r="A10" s="3"/>
      <c r="B10" s="3"/>
      <c r="C10" s="3"/>
      <c r="D10" s="3"/>
      <c r="E10" s="3"/>
      <c r="F10" s="3"/>
    </row>
    <row r="11" spans="1:6" ht="16.5" x14ac:dyDescent="0.35">
      <c r="A11" s="3" t="s">
        <v>19</v>
      </c>
      <c r="B11" s="3" t="s">
        <v>32</v>
      </c>
      <c r="C11" s="14" t="s">
        <v>33</v>
      </c>
      <c r="D11" s="14"/>
      <c r="E11" s="14"/>
      <c r="F11" s="3">
        <v>1.9E-2</v>
      </c>
    </row>
  </sheetData>
  <mergeCells count="4">
    <mergeCell ref="A4:D4"/>
    <mergeCell ref="A5:D5"/>
    <mergeCell ref="A6:D6"/>
    <mergeCell ref="C11:E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C4EF-CD0A-480B-8BE3-0B091D385C4E}">
  <dimension ref="A1:H6"/>
  <sheetViews>
    <sheetView workbookViewId="0">
      <selection sqref="A1:H6"/>
    </sheetView>
  </sheetViews>
  <sheetFormatPr defaultRowHeight="14.5" x14ac:dyDescent="0.35"/>
  <sheetData>
    <row r="1" spans="1:8" x14ac:dyDescent="0.35">
      <c r="A1" s="5" t="s">
        <v>6</v>
      </c>
      <c r="B1" s="3">
        <v>5</v>
      </c>
      <c r="C1" s="3" t="s">
        <v>34</v>
      </c>
      <c r="D1" s="3"/>
      <c r="E1" s="3"/>
      <c r="F1" s="3"/>
      <c r="G1" s="3"/>
      <c r="H1" s="3"/>
    </row>
    <row r="2" spans="1:8" x14ac:dyDescent="0.35">
      <c r="A2" s="5" t="s">
        <v>1</v>
      </c>
      <c r="B2" s="3">
        <v>3</v>
      </c>
      <c r="C2" s="3" t="s">
        <v>34</v>
      </c>
      <c r="D2" s="3"/>
      <c r="E2" s="3"/>
      <c r="F2" s="3"/>
      <c r="G2" s="3"/>
      <c r="H2" s="3"/>
    </row>
    <row r="3" spans="1:8" x14ac:dyDescent="0.35">
      <c r="A3" s="3"/>
      <c r="B3" s="3"/>
      <c r="C3" s="3"/>
      <c r="D3" s="3"/>
      <c r="E3" s="3"/>
      <c r="F3" s="3"/>
      <c r="G3" s="3"/>
      <c r="H3" s="3"/>
    </row>
    <row r="4" spans="1:8" x14ac:dyDescent="0.35">
      <c r="A4" s="3"/>
      <c r="B4" s="3"/>
      <c r="C4" s="3"/>
      <c r="D4" s="3"/>
      <c r="E4" s="3"/>
      <c r="F4" s="3"/>
      <c r="G4" s="3"/>
      <c r="H4" s="3"/>
    </row>
    <row r="5" spans="1:8" ht="17" x14ac:dyDescent="0.45">
      <c r="A5" s="5" t="s">
        <v>2</v>
      </c>
      <c r="B5" s="3" t="s">
        <v>13</v>
      </c>
      <c r="C5" s="3"/>
      <c r="D5" s="3">
        <f>5/3</f>
        <v>1.6666666666666667</v>
      </c>
      <c r="E5" s="3" t="s">
        <v>29</v>
      </c>
      <c r="F5" s="3"/>
      <c r="G5" s="3"/>
      <c r="H5" s="3"/>
    </row>
    <row r="6" spans="1:8" ht="17" x14ac:dyDescent="0.45">
      <c r="A6" s="5" t="s">
        <v>4</v>
      </c>
      <c r="B6" s="3" t="s">
        <v>35</v>
      </c>
      <c r="C6" s="3"/>
      <c r="D6" s="3">
        <f>D5/B1</f>
        <v>0.33333333333333337</v>
      </c>
      <c r="E6" s="3" t="s">
        <v>29</v>
      </c>
      <c r="F6" s="3" t="s">
        <v>36</v>
      </c>
      <c r="G6" s="3">
        <v>8</v>
      </c>
      <c r="H6" s="3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1727-E66C-4FE1-9D10-01B2A87D0752}">
  <dimension ref="A1:H30"/>
  <sheetViews>
    <sheetView tabSelected="1" topLeftCell="A16" workbookViewId="0">
      <selection activeCell="D30" sqref="D30"/>
    </sheetView>
  </sheetViews>
  <sheetFormatPr defaultRowHeight="14.5" x14ac:dyDescent="0.35"/>
  <cols>
    <col min="1" max="1" width="14.81640625" customWidth="1"/>
    <col min="2" max="2" width="12.6328125" customWidth="1"/>
    <col min="3" max="3" width="11.36328125" customWidth="1"/>
    <col min="4" max="4" width="16.81640625" customWidth="1"/>
    <col min="6" max="6" width="14.36328125" customWidth="1"/>
    <col min="7" max="7" width="15.90625" customWidth="1"/>
  </cols>
  <sheetData>
    <row r="1" spans="1:8" ht="43.5" x14ac:dyDescent="0.35">
      <c r="A1" s="17" t="s">
        <v>38</v>
      </c>
      <c r="B1" s="17" t="s">
        <v>39</v>
      </c>
      <c r="C1" s="17" t="s">
        <v>40</v>
      </c>
    </row>
    <row r="2" spans="1:8" x14ac:dyDescent="0.35">
      <c r="A2" s="3" t="s">
        <v>41</v>
      </c>
      <c r="B2" s="3">
        <v>45</v>
      </c>
      <c r="C2" s="3">
        <v>0.4</v>
      </c>
    </row>
    <row r="3" spans="1:8" x14ac:dyDescent="0.35">
      <c r="A3" s="3" t="s">
        <v>42</v>
      </c>
      <c r="B3" s="3">
        <v>60</v>
      </c>
      <c r="C3" s="3">
        <v>0.15</v>
      </c>
    </row>
    <row r="4" spans="1:8" x14ac:dyDescent="0.35">
      <c r="A4" s="3" t="s">
        <v>43</v>
      </c>
      <c r="B4" s="3">
        <v>15</v>
      </c>
      <c r="C4" s="3">
        <v>0.15</v>
      </c>
    </row>
    <row r="5" spans="1:8" x14ac:dyDescent="0.35">
      <c r="A5" s="3" t="s">
        <v>44</v>
      </c>
      <c r="B5" s="3">
        <v>45</v>
      </c>
      <c r="C5" s="3">
        <v>0.1</v>
      </c>
    </row>
    <row r="6" spans="1:8" x14ac:dyDescent="0.35">
      <c r="A6" s="3" t="s">
        <v>45</v>
      </c>
      <c r="B6" s="3">
        <v>15</v>
      </c>
      <c r="C6" s="3">
        <v>0.2</v>
      </c>
    </row>
    <row r="9" spans="1:8" x14ac:dyDescent="0.35">
      <c r="A9">
        <v>40</v>
      </c>
      <c r="B9">
        <v>82</v>
      </c>
      <c r="C9">
        <v>11</v>
      </c>
      <c r="D9">
        <v>34</v>
      </c>
      <c r="E9">
        <v>25</v>
      </c>
      <c r="F9">
        <v>66</v>
      </c>
      <c r="G9">
        <v>17</v>
      </c>
      <c r="H9">
        <v>69</v>
      </c>
    </row>
    <row r="11" spans="1:8" ht="43.5" x14ac:dyDescent="0.35">
      <c r="A11" s="17" t="s">
        <v>38</v>
      </c>
      <c r="B11" s="17" t="s">
        <v>39</v>
      </c>
      <c r="C11" s="17" t="s">
        <v>40</v>
      </c>
      <c r="D11" s="17" t="s">
        <v>46</v>
      </c>
      <c r="E11" s="17" t="s">
        <v>47</v>
      </c>
    </row>
    <row r="12" spans="1:8" x14ac:dyDescent="0.35">
      <c r="A12" s="3" t="s">
        <v>41</v>
      </c>
      <c r="B12" s="3">
        <v>45</v>
      </c>
      <c r="C12" s="3">
        <v>0.4</v>
      </c>
      <c r="D12" s="3">
        <f>C12</f>
        <v>0.4</v>
      </c>
      <c r="E12" s="3" t="s">
        <v>48</v>
      </c>
    </row>
    <row r="13" spans="1:8" x14ac:dyDescent="0.35">
      <c r="A13" s="3" t="s">
        <v>42</v>
      </c>
      <c r="B13" s="3">
        <v>60</v>
      </c>
      <c r="C13" s="3">
        <v>0.15</v>
      </c>
      <c r="D13" s="3">
        <f>C13+D12</f>
        <v>0.55000000000000004</v>
      </c>
      <c r="E13" s="3" t="s">
        <v>49</v>
      </c>
    </row>
    <row r="14" spans="1:8" x14ac:dyDescent="0.35">
      <c r="A14" s="3" t="s">
        <v>43</v>
      </c>
      <c r="B14" s="3">
        <v>15</v>
      </c>
      <c r="C14" s="3">
        <v>0.15</v>
      </c>
      <c r="D14" s="3">
        <f t="shared" ref="D14:D16" si="0">C14+D13</f>
        <v>0.70000000000000007</v>
      </c>
      <c r="E14" s="3" t="s">
        <v>50</v>
      </c>
    </row>
    <row r="15" spans="1:8" x14ac:dyDescent="0.35">
      <c r="A15" s="3" t="s">
        <v>44</v>
      </c>
      <c r="B15" s="3">
        <v>45</v>
      </c>
      <c r="C15" s="3">
        <v>0.1</v>
      </c>
      <c r="D15" s="3">
        <f t="shared" si="0"/>
        <v>0.8</v>
      </c>
      <c r="E15" s="3" t="s">
        <v>51</v>
      </c>
    </row>
    <row r="16" spans="1:8" x14ac:dyDescent="0.35">
      <c r="A16" s="3" t="s">
        <v>45</v>
      </c>
      <c r="B16" s="3">
        <v>15</v>
      </c>
      <c r="C16" s="3">
        <v>0.2</v>
      </c>
      <c r="D16" s="3">
        <f t="shared" si="0"/>
        <v>1</v>
      </c>
      <c r="E16" s="3" t="s">
        <v>52</v>
      </c>
    </row>
    <row r="19" spans="1:8" ht="43.5" x14ac:dyDescent="0.35">
      <c r="A19" s="17" t="s">
        <v>53</v>
      </c>
      <c r="B19" s="17" t="s">
        <v>54</v>
      </c>
      <c r="C19" s="17" t="s">
        <v>55</v>
      </c>
      <c r="D19" s="17" t="s">
        <v>56</v>
      </c>
      <c r="E19" s="17" t="s">
        <v>57</v>
      </c>
      <c r="F19" s="17" t="s">
        <v>59</v>
      </c>
      <c r="G19" s="17" t="s">
        <v>58</v>
      </c>
      <c r="H19" s="2"/>
    </row>
    <row r="20" spans="1:8" x14ac:dyDescent="0.35">
      <c r="A20" s="18">
        <v>0.33333333333333331</v>
      </c>
      <c r="B20" s="3">
        <v>40</v>
      </c>
      <c r="C20" s="3">
        <v>60</v>
      </c>
      <c r="D20" s="18">
        <v>0.33333333333333331</v>
      </c>
      <c r="E20" s="18">
        <v>0.375</v>
      </c>
      <c r="F20" s="11">
        <v>0</v>
      </c>
      <c r="G20" s="3">
        <v>0</v>
      </c>
    </row>
    <row r="21" spans="1:8" x14ac:dyDescent="0.35">
      <c r="A21" s="18">
        <v>0.35416666666666669</v>
      </c>
      <c r="B21" s="3">
        <v>82</v>
      </c>
      <c r="C21" s="3">
        <v>15</v>
      </c>
      <c r="D21" s="18">
        <f>E20</f>
        <v>0.375</v>
      </c>
      <c r="E21" s="18">
        <v>0.38541666666666669</v>
      </c>
      <c r="F21" s="11">
        <v>30</v>
      </c>
      <c r="G21" s="3">
        <v>0</v>
      </c>
    </row>
    <row r="22" spans="1:8" x14ac:dyDescent="0.35">
      <c r="A22" s="18">
        <v>0.375</v>
      </c>
      <c r="B22" s="3">
        <v>11</v>
      </c>
      <c r="C22" s="3">
        <v>45</v>
      </c>
      <c r="D22" s="18">
        <f t="shared" ref="D22:D27" si="1">E21</f>
        <v>0.38541666666666669</v>
      </c>
      <c r="E22" s="18">
        <v>0.41666666666666669</v>
      </c>
      <c r="F22" s="11">
        <v>15</v>
      </c>
      <c r="G22" s="3">
        <v>0</v>
      </c>
    </row>
    <row r="23" spans="1:8" x14ac:dyDescent="0.35">
      <c r="A23" s="18">
        <v>0.39583333333333331</v>
      </c>
      <c r="B23" s="3">
        <v>34</v>
      </c>
      <c r="C23" s="3">
        <v>45</v>
      </c>
      <c r="D23" s="18">
        <f t="shared" si="1"/>
        <v>0.41666666666666669</v>
      </c>
      <c r="E23" s="18">
        <v>0.44791666666666669</v>
      </c>
      <c r="F23" s="11">
        <v>30</v>
      </c>
      <c r="G23" s="3">
        <v>0</v>
      </c>
    </row>
    <row r="24" spans="1:8" x14ac:dyDescent="0.35">
      <c r="A24" s="18">
        <v>0.41666666666666669</v>
      </c>
      <c r="B24" s="3">
        <v>25</v>
      </c>
      <c r="C24" s="3">
        <v>45</v>
      </c>
      <c r="D24" s="18">
        <f t="shared" si="1"/>
        <v>0.44791666666666669</v>
      </c>
      <c r="E24" s="18">
        <v>0.47916666666666669</v>
      </c>
      <c r="F24" s="11">
        <v>45</v>
      </c>
      <c r="G24" s="3">
        <v>0</v>
      </c>
    </row>
    <row r="25" spans="1:8" x14ac:dyDescent="0.35">
      <c r="A25" s="18">
        <v>0.4375</v>
      </c>
      <c r="B25" s="3">
        <v>66</v>
      </c>
      <c r="C25" s="3">
        <v>15</v>
      </c>
      <c r="D25" s="18">
        <f t="shared" si="1"/>
        <v>0.47916666666666669</v>
      </c>
      <c r="E25" s="18">
        <v>0.48958333333333331</v>
      </c>
      <c r="F25" s="11">
        <v>60</v>
      </c>
      <c r="G25" s="3">
        <v>0</v>
      </c>
    </row>
    <row r="26" spans="1:8" x14ac:dyDescent="0.35">
      <c r="A26" s="18">
        <v>0.45833333333333331</v>
      </c>
      <c r="B26" s="3">
        <v>17</v>
      </c>
      <c r="C26" s="3">
        <v>45</v>
      </c>
      <c r="D26" s="18">
        <f t="shared" si="1"/>
        <v>0.48958333333333331</v>
      </c>
      <c r="E26" s="18">
        <v>0.52083333333333337</v>
      </c>
      <c r="F26" s="11">
        <v>45</v>
      </c>
      <c r="G26" s="3">
        <v>0</v>
      </c>
    </row>
    <row r="27" spans="1:8" x14ac:dyDescent="0.35">
      <c r="A27" s="18">
        <v>0.47916666666666669</v>
      </c>
      <c r="B27" s="3">
        <v>79</v>
      </c>
      <c r="C27" s="3">
        <v>45</v>
      </c>
      <c r="D27" s="18">
        <f t="shared" si="1"/>
        <v>0.52083333333333337</v>
      </c>
      <c r="E27" s="18">
        <v>0.55208333333333337</v>
      </c>
      <c r="F27" s="11">
        <v>60</v>
      </c>
      <c r="G27" s="3">
        <v>0</v>
      </c>
    </row>
    <row r="30" spans="1:8" x14ac:dyDescent="0.35">
      <c r="D30" s="1">
        <f>AVERAGE(F20:F27)</f>
        <v>35.625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309B-650A-4D50-902C-9CD154B68A80}">
  <dimension ref="A1:G11"/>
  <sheetViews>
    <sheetView workbookViewId="0">
      <selection activeCell="G11" sqref="B1:G11"/>
    </sheetView>
  </sheetViews>
  <sheetFormatPr defaultRowHeight="14.5" x14ac:dyDescent="0.35"/>
  <sheetData>
    <row r="1" spans="1:7" x14ac:dyDescent="0.35">
      <c r="A1" s="3" t="s">
        <v>60</v>
      </c>
      <c r="B1" s="3">
        <v>2000</v>
      </c>
      <c r="C1" s="3"/>
      <c r="D1" s="3" t="s">
        <v>63</v>
      </c>
      <c r="E1" s="3">
        <v>0.9</v>
      </c>
      <c r="F1" s="3"/>
      <c r="G1" s="3"/>
    </row>
    <row r="2" spans="1:7" x14ac:dyDescent="0.35">
      <c r="A2" s="3" t="s">
        <v>61</v>
      </c>
      <c r="B2" s="3">
        <v>3000</v>
      </c>
      <c r="C2" s="3"/>
      <c r="D2" s="3" t="s">
        <v>64</v>
      </c>
      <c r="E2" s="3">
        <v>0.7</v>
      </c>
      <c r="F2" s="3"/>
      <c r="G2" s="3"/>
    </row>
    <row r="3" spans="1:7" x14ac:dyDescent="0.35">
      <c r="A3" s="3" t="s">
        <v>62</v>
      </c>
      <c r="B3" s="3">
        <v>1000</v>
      </c>
      <c r="C3" s="3"/>
      <c r="D3" s="3" t="s">
        <v>65</v>
      </c>
      <c r="E3" s="3">
        <v>0.9</v>
      </c>
      <c r="F3" s="3"/>
      <c r="G3" s="3"/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3"/>
      <c r="B5" s="3" t="s">
        <v>69</v>
      </c>
      <c r="C5" s="3" t="s">
        <v>70</v>
      </c>
      <c r="D5" s="3" t="s">
        <v>71</v>
      </c>
      <c r="E5" s="3"/>
      <c r="F5" s="3"/>
      <c r="G5" s="3"/>
    </row>
    <row r="6" spans="1:7" x14ac:dyDescent="0.35">
      <c r="A6" s="3" t="s">
        <v>66</v>
      </c>
      <c r="B6" s="3">
        <v>2000</v>
      </c>
      <c r="C6" s="3">
        <v>3000</v>
      </c>
      <c r="D6" s="3">
        <v>1000</v>
      </c>
      <c r="E6" s="3"/>
      <c r="F6" s="3"/>
      <c r="G6" s="3"/>
    </row>
    <row r="7" spans="1:7" x14ac:dyDescent="0.35">
      <c r="A7" s="3"/>
      <c r="B7" s="3">
        <v>1.3846149999999999</v>
      </c>
      <c r="C7" s="3">
        <v>2.0769229999999999</v>
      </c>
      <c r="D7" s="3">
        <v>1</v>
      </c>
      <c r="E7" s="3"/>
      <c r="F7" s="3" t="s">
        <v>67</v>
      </c>
      <c r="G7" s="3">
        <v>10000</v>
      </c>
    </row>
    <row r="8" spans="1:7" x14ac:dyDescent="0.35">
      <c r="A8" s="3"/>
      <c r="B8" s="3"/>
      <c r="C8" s="3"/>
      <c r="D8" s="3"/>
      <c r="E8" s="3"/>
      <c r="F8" s="3"/>
      <c r="G8" s="3"/>
    </row>
    <row r="9" spans="1:7" x14ac:dyDescent="0.35">
      <c r="A9" s="3" t="s">
        <v>86</v>
      </c>
      <c r="B9" s="3">
        <v>2</v>
      </c>
      <c r="C9" s="3">
        <v>3</v>
      </c>
      <c r="D9" s="3">
        <v>9</v>
      </c>
      <c r="E9" s="3" t="s">
        <v>68</v>
      </c>
      <c r="F9" s="3">
        <v>9</v>
      </c>
      <c r="G9" s="3"/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 t="s">
        <v>87</v>
      </c>
      <c r="B11" s="3">
        <v>0.79208900000000004</v>
      </c>
      <c r="C11" s="3"/>
      <c r="D11" s="3"/>
      <c r="E11" s="3"/>
      <c r="F11" s="3"/>
      <c r="G1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8350-7A65-46FA-B96F-44FD98C955DA}">
  <dimension ref="A1:F13"/>
  <sheetViews>
    <sheetView workbookViewId="0">
      <selection activeCell="A5" sqref="A5:F13"/>
    </sheetView>
  </sheetViews>
  <sheetFormatPr defaultRowHeight="14.5" x14ac:dyDescent="0.35"/>
  <cols>
    <col min="6" max="6" width="14.7265625" customWidth="1"/>
  </cols>
  <sheetData>
    <row r="1" spans="1:6" x14ac:dyDescent="0.35">
      <c r="D1" s="3" t="s">
        <v>73</v>
      </c>
      <c r="E1" s="3" t="s">
        <v>74</v>
      </c>
      <c r="F1" s="3" t="s">
        <v>75</v>
      </c>
    </row>
    <row r="2" spans="1:6" x14ac:dyDescent="0.35">
      <c r="A2" s="14" t="s">
        <v>72</v>
      </c>
      <c r="B2" s="14"/>
      <c r="C2" s="14"/>
      <c r="D2" s="3">
        <v>10000</v>
      </c>
      <c r="E2" s="3">
        <v>20000</v>
      </c>
      <c r="F2" s="3">
        <v>20000</v>
      </c>
    </row>
    <row r="5" spans="1:6" ht="16.5" x14ac:dyDescent="0.45">
      <c r="A5" s="6" t="s">
        <v>90</v>
      </c>
      <c r="B5" s="19">
        <f>1/10000</f>
        <v>1E-4</v>
      </c>
      <c r="C5" s="19"/>
      <c r="D5" s="19"/>
      <c r="E5" s="19"/>
      <c r="F5" s="19"/>
    </row>
    <row r="6" spans="1:6" ht="16.5" x14ac:dyDescent="0.45">
      <c r="A6" s="6" t="s">
        <v>91</v>
      </c>
      <c r="B6" s="19">
        <f>1/20000</f>
        <v>5.0000000000000002E-5</v>
      </c>
      <c r="C6" s="19"/>
      <c r="D6" s="19"/>
      <c r="E6" s="19"/>
      <c r="F6" s="19"/>
    </row>
    <row r="7" spans="1:6" ht="16.5" x14ac:dyDescent="0.45">
      <c r="A7" s="6" t="s">
        <v>92</v>
      </c>
      <c r="B7" s="19">
        <f>1/20000</f>
        <v>5.0000000000000002E-5</v>
      </c>
      <c r="C7" s="19"/>
      <c r="D7" s="19"/>
      <c r="E7" s="19"/>
      <c r="F7" s="19"/>
    </row>
    <row r="8" spans="1:6" x14ac:dyDescent="0.35">
      <c r="A8" s="19"/>
      <c r="B8" s="19"/>
      <c r="C8" s="19"/>
      <c r="D8" s="19"/>
      <c r="E8" s="19"/>
      <c r="F8" s="19"/>
    </row>
    <row r="9" spans="1:6" ht="16.5" x14ac:dyDescent="0.45">
      <c r="A9" s="6" t="s">
        <v>76</v>
      </c>
      <c r="B9" s="20" t="s">
        <v>89</v>
      </c>
      <c r="C9" s="20"/>
      <c r="D9" s="20"/>
      <c r="E9" s="19">
        <f>1/((15*B5)+(20*B6)+(10*B7))</f>
        <v>333.33333333333331</v>
      </c>
      <c r="F9" s="19"/>
    </row>
    <row r="10" spans="1:6" x14ac:dyDescent="0.35">
      <c r="A10" s="19"/>
      <c r="B10" s="19"/>
      <c r="C10" s="19"/>
      <c r="D10" s="19"/>
      <c r="E10" s="19"/>
      <c r="F10" s="19"/>
    </row>
    <row r="11" spans="1:6" x14ac:dyDescent="0.35">
      <c r="A11" s="21" t="s">
        <v>77</v>
      </c>
      <c r="B11" s="21"/>
      <c r="C11" s="21"/>
      <c r="D11" s="21"/>
      <c r="E11" s="21"/>
      <c r="F11" s="22" t="s">
        <v>88</v>
      </c>
    </row>
    <row r="12" spans="1:6" ht="16.5" x14ac:dyDescent="0.35">
      <c r="A12" s="19"/>
      <c r="B12" s="19"/>
      <c r="C12" s="19"/>
      <c r="D12" s="19"/>
      <c r="E12" s="19"/>
      <c r="F12" s="19" t="s">
        <v>78</v>
      </c>
    </row>
    <row r="13" spans="1:6" x14ac:dyDescent="0.35">
      <c r="A13" s="19"/>
      <c r="B13" s="19"/>
      <c r="C13" s="19"/>
      <c r="D13" s="19"/>
      <c r="E13" s="19"/>
      <c r="F13" s="19">
        <v>0.74080000000000001</v>
      </c>
    </row>
  </sheetData>
  <mergeCells count="3">
    <mergeCell ref="A2:C2"/>
    <mergeCell ref="B9:D9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MM1 Infinity</vt:lpstr>
      <vt:lpstr>MM1 INF 2</vt:lpstr>
      <vt:lpstr>MM1K</vt:lpstr>
      <vt:lpstr>mm1k2</vt:lpstr>
      <vt:lpstr>mmc infinity</vt:lpstr>
      <vt:lpstr>mmck</vt:lpstr>
      <vt:lpstr>b&amp;d 1</vt:lpstr>
      <vt:lpstr>b&amp;d 2</vt:lpstr>
      <vt:lpstr>simulation</vt:lpstr>
      <vt:lpstr>reliability</vt:lpstr>
      <vt:lpstr>rel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Manas Bhutani</cp:lastModifiedBy>
  <dcterms:created xsi:type="dcterms:W3CDTF">2015-06-05T18:17:20Z</dcterms:created>
  <dcterms:modified xsi:type="dcterms:W3CDTF">2023-12-08T13:09:35Z</dcterms:modified>
</cp:coreProperties>
</file>