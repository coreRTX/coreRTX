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mester 5\Queue and Reliabilty Theory\Practicals\"/>
    </mc:Choice>
  </mc:AlternateContent>
  <bookViews>
    <workbookView xWindow="0" yWindow="0" windowWidth="23040" windowHeight="10644" activeTab="3"/>
  </bookViews>
  <sheets>
    <sheet name="MM1" sheetId="1" r:id="rId1"/>
    <sheet name="MM1K" sheetId="2" r:id="rId2"/>
    <sheet name="MMC" sheetId="3" r:id="rId3"/>
    <sheet name="MMCK" sheetId="4" r:id="rId4"/>
    <sheet name="Birth &amp; Death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4" l="1"/>
  <c r="H63" i="4"/>
  <c r="H62" i="4"/>
  <c r="H61" i="4"/>
  <c r="Q80" i="4"/>
  <c r="Q79" i="4"/>
  <c r="R73" i="4"/>
  <c r="R74" i="4"/>
  <c r="R75" i="4"/>
  <c r="R72" i="4"/>
  <c r="R71" i="4"/>
  <c r="R70" i="4"/>
  <c r="Q71" i="4"/>
  <c r="Q72" i="4"/>
  <c r="Q73" i="4"/>
  <c r="Q74" i="4"/>
  <c r="Q75" i="4"/>
  <c r="Q70" i="4"/>
  <c r="P73" i="4"/>
  <c r="P74" i="4"/>
  <c r="P75" i="4"/>
  <c r="P72" i="4"/>
  <c r="P71" i="4"/>
  <c r="P70" i="4"/>
  <c r="Q64" i="4"/>
  <c r="P57" i="4"/>
  <c r="Q61" i="4" s="1"/>
  <c r="P58" i="4"/>
  <c r="P59" i="4"/>
  <c r="P60" i="4"/>
  <c r="P56" i="4"/>
  <c r="P55" i="4"/>
  <c r="H60" i="4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44" i="2"/>
  <c r="M43" i="2"/>
  <c r="G51" i="2"/>
  <c r="G50" i="2"/>
  <c r="G55" i="2" s="1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6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8" i="2"/>
  <c r="M7" i="2"/>
  <c r="M6" i="2"/>
  <c r="G41" i="1"/>
  <c r="G36" i="1"/>
  <c r="G46" i="1" s="1"/>
  <c r="G35" i="1"/>
  <c r="H65" i="4" l="1"/>
  <c r="G42" i="1"/>
  <c r="G19" i="4"/>
  <c r="G18" i="4"/>
  <c r="G17" i="4"/>
  <c r="G16" i="4"/>
  <c r="R43" i="4"/>
  <c r="S37" i="4"/>
  <c r="S38" i="4"/>
  <c r="S39" i="4"/>
  <c r="S40" i="4"/>
  <c r="S36" i="4"/>
  <c r="R42" i="4"/>
  <c r="Q37" i="4"/>
  <c r="R37" i="4" s="1"/>
  <c r="Q38" i="4"/>
  <c r="Q39" i="4"/>
  <c r="R39" i="4" s="1"/>
  <c r="Q40" i="4"/>
  <c r="Q36" i="4"/>
  <c r="R36" i="4" s="1"/>
  <c r="R38" i="4"/>
  <c r="R40" i="4"/>
  <c r="R34" i="4"/>
  <c r="R35" i="4"/>
  <c r="R33" i="4"/>
  <c r="Q35" i="4"/>
  <c r="Q34" i="4"/>
  <c r="Q33" i="4"/>
  <c r="G15" i="4"/>
  <c r="R27" i="4"/>
  <c r="R20" i="4"/>
  <c r="R21" i="4" s="1"/>
  <c r="R22" i="4" s="1"/>
  <c r="R23" i="4" s="1"/>
  <c r="R24" i="4" s="1"/>
  <c r="R25" i="4" s="1"/>
  <c r="R19" i="4"/>
  <c r="R18" i="4"/>
  <c r="Q22" i="4"/>
  <c r="Q23" i="4"/>
  <c r="Q24" i="4"/>
  <c r="Q25" i="4"/>
  <c r="Q21" i="4"/>
  <c r="Q19" i="4"/>
  <c r="Q20" i="4"/>
  <c r="Q18" i="4"/>
  <c r="G14" i="4"/>
  <c r="G11" i="4"/>
  <c r="G10" i="4"/>
  <c r="G8" i="4"/>
  <c r="G9" i="4"/>
  <c r="G53" i="2" l="1"/>
  <c r="G52" i="2"/>
  <c r="G54" i="2" s="1"/>
  <c r="G44" i="1"/>
  <c r="G43" i="1"/>
  <c r="G45" i="1" s="1"/>
  <c r="I37" i="3"/>
  <c r="I36" i="3"/>
  <c r="I34" i="3"/>
  <c r="I35" i="3"/>
  <c r="I33" i="3"/>
  <c r="Q34" i="3"/>
  <c r="S31" i="3"/>
  <c r="Q31" i="3"/>
  <c r="O31" i="3"/>
  <c r="O29" i="3"/>
  <c r="O30" i="3"/>
  <c r="O28" i="3"/>
  <c r="I32" i="3"/>
  <c r="G17" i="3"/>
  <c r="G16" i="3"/>
  <c r="G14" i="3"/>
  <c r="G15" i="3"/>
  <c r="G18" i="3"/>
  <c r="R10" i="3"/>
  <c r="P10" i="3"/>
  <c r="N10" i="3"/>
  <c r="N7" i="3"/>
  <c r="N8" i="3"/>
  <c r="N9" i="3"/>
  <c r="N6" i="3"/>
  <c r="G13" i="3" l="1"/>
  <c r="G17" i="2" l="1"/>
  <c r="G16" i="2"/>
  <c r="G15" i="2"/>
  <c r="G14" i="2"/>
  <c r="G18" i="2"/>
  <c r="G13" i="2"/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7" i="1"/>
  <c r="L6" i="1"/>
  <c r="G14" i="1"/>
  <c r="G13" i="1"/>
  <c r="G12" i="1"/>
  <c r="G11" i="1"/>
  <c r="G15" i="1"/>
  <c r="G10" i="1"/>
</calcChain>
</file>

<file path=xl/sharedStrings.xml><?xml version="1.0" encoding="utf-8"?>
<sst xmlns="http://schemas.openxmlformats.org/spreadsheetml/2006/main" count="237" uniqueCount="55">
  <si>
    <t>Given</t>
  </si>
  <si>
    <t>λ</t>
  </si>
  <si>
    <t>μ</t>
  </si>
  <si>
    <t>=</t>
  </si>
  <si>
    <t xml:space="preserve">Performance Measure </t>
  </si>
  <si>
    <t>ρ</t>
  </si>
  <si>
    <r>
      <t>L</t>
    </r>
    <r>
      <rPr>
        <sz val="8"/>
        <color theme="1"/>
        <rFont val="Calibri"/>
        <family val="2"/>
        <scheme val="minor"/>
      </rPr>
      <t>s</t>
    </r>
  </si>
  <si>
    <r>
      <t>L</t>
    </r>
    <r>
      <rPr>
        <sz val="9"/>
        <color theme="1"/>
        <rFont val="Calibri"/>
        <family val="2"/>
        <scheme val="minor"/>
      </rPr>
      <t>q</t>
    </r>
  </si>
  <si>
    <r>
      <t>W</t>
    </r>
    <r>
      <rPr>
        <sz val="9"/>
        <color theme="1"/>
        <rFont val="Calibri"/>
        <family val="2"/>
        <scheme val="minor"/>
      </rPr>
      <t>s</t>
    </r>
  </si>
  <si>
    <r>
      <t>W</t>
    </r>
    <r>
      <rPr>
        <sz val="9"/>
        <color theme="1"/>
        <rFont val="Calibri"/>
        <family val="2"/>
        <scheme val="minor"/>
      </rPr>
      <t>q</t>
    </r>
  </si>
  <si>
    <r>
      <t>P</t>
    </r>
    <r>
      <rPr>
        <sz val="9"/>
        <color theme="1"/>
        <rFont val="Calibri"/>
        <family val="2"/>
        <scheme val="minor"/>
      </rPr>
      <t>0</t>
    </r>
  </si>
  <si>
    <t>n</t>
  </si>
  <si>
    <t>Probability</t>
  </si>
  <si>
    <t>M|M|1|K|FCFS</t>
  </si>
  <si>
    <t>K</t>
  </si>
  <si>
    <t>trains</t>
  </si>
  <si>
    <t>/min</t>
  </si>
  <si>
    <t>Performance Measure</t>
  </si>
  <si>
    <t>µ</t>
  </si>
  <si>
    <r>
      <t>L</t>
    </r>
    <r>
      <rPr>
        <b/>
        <sz val="9"/>
        <color theme="1"/>
        <rFont val="Calibri"/>
        <family val="2"/>
        <scheme val="minor"/>
      </rPr>
      <t>s</t>
    </r>
  </si>
  <si>
    <r>
      <t>L</t>
    </r>
    <r>
      <rPr>
        <b/>
        <sz val="9"/>
        <color theme="1"/>
        <rFont val="Calibri"/>
        <family val="2"/>
        <scheme val="minor"/>
      </rPr>
      <t>q</t>
    </r>
  </si>
  <si>
    <r>
      <t>W</t>
    </r>
    <r>
      <rPr>
        <b/>
        <sz val="10"/>
        <color theme="1"/>
        <rFont val="Calibri"/>
        <family val="2"/>
        <scheme val="minor"/>
      </rPr>
      <t>s</t>
    </r>
  </si>
  <si>
    <r>
      <t>W</t>
    </r>
    <r>
      <rPr>
        <b/>
        <sz val="10"/>
        <color theme="1"/>
        <rFont val="Calibri"/>
        <family val="2"/>
        <scheme val="minor"/>
      </rPr>
      <t>q</t>
    </r>
  </si>
  <si>
    <r>
      <t>P</t>
    </r>
    <r>
      <rPr>
        <b/>
        <sz val="9"/>
        <color theme="1"/>
        <rFont val="Calibri"/>
        <family val="2"/>
        <scheme val="minor"/>
      </rPr>
      <t>0</t>
    </r>
  </si>
  <si>
    <r>
      <t>M|M|C|</t>
    </r>
    <r>
      <rPr>
        <b/>
        <sz val="11"/>
        <color theme="1"/>
        <rFont val="Calibri"/>
        <family val="2"/>
      </rPr>
      <t>∞|FCFS</t>
    </r>
  </si>
  <si>
    <t>c</t>
  </si>
  <si>
    <t>Peformance Measure</t>
  </si>
  <si>
    <t>/hr</t>
  </si>
  <si>
    <t>Ls</t>
  </si>
  <si>
    <t>Ws</t>
  </si>
  <si>
    <t>Wq</t>
  </si>
  <si>
    <r>
      <rPr>
        <b/>
        <sz val="11"/>
        <color theme="1"/>
        <rFont val="Calibri"/>
        <family val="2"/>
        <scheme val="minor"/>
      </rPr>
      <t>P</t>
    </r>
    <r>
      <rPr>
        <b/>
        <sz val="9"/>
        <color theme="1"/>
        <rFont val="Calibri"/>
        <family val="2"/>
        <scheme val="minor"/>
      </rPr>
      <t>o</t>
    </r>
  </si>
  <si>
    <r>
      <t>To calculate P</t>
    </r>
    <r>
      <rPr>
        <b/>
        <sz val="8"/>
        <color theme="1"/>
        <rFont val="Calibri"/>
        <family val="2"/>
        <scheme val="minor"/>
      </rPr>
      <t>0</t>
    </r>
  </si>
  <si>
    <t xml:space="preserve">value </t>
  </si>
  <si>
    <t>+</t>
  </si>
  <si>
    <t>sum =&gt;</t>
  </si>
  <si>
    <t>Question -1)</t>
  </si>
  <si>
    <t>Question -2)</t>
  </si>
  <si>
    <t>Performance Measures</t>
  </si>
  <si>
    <r>
      <t>L</t>
    </r>
    <r>
      <rPr>
        <sz val="9"/>
        <color theme="1"/>
        <rFont val="Calibri"/>
        <family val="2"/>
        <scheme val="minor"/>
      </rPr>
      <t>s</t>
    </r>
  </si>
  <si>
    <t>Sum=&gt;</t>
  </si>
  <si>
    <r>
      <t>To Calculate P</t>
    </r>
    <r>
      <rPr>
        <b/>
        <sz val="9"/>
        <color theme="1"/>
        <rFont val="Calibri"/>
        <family val="2"/>
        <scheme val="minor"/>
      </rPr>
      <t>0</t>
    </r>
  </si>
  <si>
    <t>M|M|C|K|FCFS</t>
  </si>
  <si>
    <t>C</t>
  </si>
  <si>
    <r>
      <t>W</t>
    </r>
    <r>
      <rPr>
        <b/>
        <sz val="9"/>
        <color theme="1"/>
        <rFont val="Calibri"/>
        <family val="2"/>
        <scheme val="minor"/>
      </rPr>
      <t>s</t>
    </r>
  </si>
  <si>
    <r>
      <t>W</t>
    </r>
    <r>
      <rPr>
        <b/>
        <sz val="9"/>
        <color theme="1"/>
        <rFont val="Calibri"/>
        <family val="2"/>
        <scheme val="minor"/>
      </rPr>
      <t>q</t>
    </r>
  </si>
  <si>
    <t>sum</t>
  </si>
  <si>
    <t>cummalative sum</t>
  </si>
  <si>
    <t>To calculate Ls</t>
  </si>
  <si>
    <r>
      <t>P</t>
    </r>
    <r>
      <rPr>
        <sz val="9"/>
        <color theme="1"/>
        <rFont val="Calibri"/>
        <family val="2"/>
        <scheme val="minor"/>
      </rPr>
      <t>n</t>
    </r>
  </si>
  <si>
    <r>
      <t>n x P</t>
    </r>
    <r>
      <rPr>
        <sz val="9"/>
        <color theme="1"/>
        <rFont val="Calibri"/>
        <family val="2"/>
        <scheme val="minor"/>
      </rPr>
      <t>n</t>
    </r>
  </si>
  <si>
    <r>
      <t>(n-c) * P</t>
    </r>
    <r>
      <rPr>
        <sz val="9"/>
        <color theme="1"/>
        <rFont val="Calibri"/>
        <family val="2"/>
        <scheme val="minor"/>
      </rPr>
      <t>n</t>
    </r>
  </si>
  <si>
    <t>Question -1</t>
  </si>
  <si>
    <t>hr</t>
  </si>
  <si>
    <t>Sum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</si>
</sst>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6" formatCode="0.000000"/>
    <numFmt numFmtId="167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quotePrefix="1"/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/>
    <xf numFmtId="0" fontId="9" fillId="0" borderId="0" xfId="0" applyFont="1"/>
    <xf numFmtId="164" fontId="0" fillId="0" borderId="1" xfId="0" applyNumberForma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53340</xdr:colOff>
      <xdr:row>16</xdr:row>
      <xdr:rowOff>34290</xdr:rowOff>
    </xdr:from>
    <xdr:ext cx="65" cy="172227"/>
    <xdr:sp macro="" textlink="">
      <xdr:nvSpPr>
        <xdr:cNvPr id="2" name="TextBox 1"/>
        <xdr:cNvSpPr txBox="1"/>
      </xdr:nvSpPr>
      <xdr:spPr>
        <a:xfrm>
          <a:off x="6758940" y="29603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299593</xdr:colOff>
      <xdr:row>17</xdr:row>
      <xdr:rowOff>79724</xdr:rowOff>
    </xdr:from>
    <xdr:ext cx="1340110" cy="4622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6395593" y="3188684"/>
              <a:ext cx="1340110" cy="4622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/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noBar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den>
                            </m:f>
                          </m:e>
                        </m:d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395593" y="3188684"/>
              <a:ext cx="1340110" cy="4622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〖^𝑛〗=∑24_(𝑘=0)^𝑛▒〖(𝑛¦𝑘) 𝑥^𝑘 𝑎^(𝑛−𝑘) 〗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46"/>
  <sheetViews>
    <sheetView topLeftCell="A25" workbookViewId="0">
      <selection activeCell="H43" sqref="H43"/>
    </sheetView>
  </sheetViews>
  <sheetFormatPr defaultRowHeight="14.4" x14ac:dyDescent="0.3"/>
  <cols>
    <col min="1" max="1" width="11" bestFit="1" customWidth="1"/>
    <col min="9" max="9" width="10" customWidth="1"/>
    <col min="12" max="12" width="11.109375" customWidth="1"/>
    <col min="15" max="15" width="11" customWidth="1"/>
    <col min="18" max="18" width="11.44140625" customWidth="1"/>
    <col min="21" max="21" width="11.21875" customWidth="1"/>
  </cols>
  <sheetData>
    <row r="3" spans="1:21" x14ac:dyDescent="0.3">
      <c r="A3" t="s">
        <v>52</v>
      </c>
    </row>
    <row r="4" spans="1:21" x14ac:dyDescent="0.3">
      <c r="E4" s="34" t="s">
        <v>0</v>
      </c>
      <c r="F4" s="35"/>
      <c r="G4" s="36"/>
    </row>
    <row r="5" spans="1:21" x14ac:dyDescent="0.3">
      <c r="E5" s="4" t="s">
        <v>1</v>
      </c>
      <c r="F5" s="6" t="s">
        <v>3</v>
      </c>
      <c r="G5" s="1">
        <v>50</v>
      </c>
      <c r="K5" s="2" t="s">
        <v>11</v>
      </c>
      <c r="L5" s="2" t="s">
        <v>12</v>
      </c>
      <c r="M5" s="7"/>
      <c r="N5" s="2" t="s">
        <v>11</v>
      </c>
      <c r="O5" s="2" t="s">
        <v>12</v>
      </c>
      <c r="P5" s="7"/>
      <c r="Q5" s="2" t="s">
        <v>11</v>
      </c>
      <c r="R5" s="2" t="s">
        <v>12</v>
      </c>
      <c r="S5" s="7"/>
      <c r="T5" s="2" t="s">
        <v>11</v>
      </c>
      <c r="U5" s="2" t="s">
        <v>12</v>
      </c>
    </row>
    <row r="6" spans="1:21" x14ac:dyDescent="0.3">
      <c r="E6" s="4" t="s">
        <v>2</v>
      </c>
      <c r="F6" s="6" t="s">
        <v>3</v>
      </c>
      <c r="G6" s="1">
        <v>60</v>
      </c>
      <c r="K6" s="2">
        <v>0</v>
      </c>
      <c r="L6" s="2">
        <f>1-G10</f>
        <v>0.16666666666666663</v>
      </c>
      <c r="M6" s="7"/>
      <c r="N6" s="2">
        <v>20</v>
      </c>
      <c r="O6" s="2">
        <f>($G$10 ^N6) *$L$6</f>
        <v>4.347342217431477E-3</v>
      </c>
      <c r="P6" s="7"/>
      <c r="Q6" s="2">
        <v>40</v>
      </c>
      <c r="R6" s="2">
        <f>($G$10 ^ Q6)*$L$6</f>
        <v>1.133963061327722E-4</v>
      </c>
      <c r="S6" s="7"/>
      <c r="T6" s="2">
        <v>60</v>
      </c>
      <c r="U6" s="2">
        <f>($G$10 ^ T6)*$L$6</f>
        <v>2.9578352937107075E-6</v>
      </c>
    </row>
    <row r="7" spans="1:21" x14ac:dyDescent="0.3">
      <c r="K7" s="2">
        <v>1</v>
      </c>
      <c r="L7" s="2">
        <f>($G$10^K7)*$L$6</f>
        <v>0.13888888888888887</v>
      </c>
      <c r="M7" s="7"/>
      <c r="N7" s="2">
        <v>21</v>
      </c>
      <c r="O7" s="2">
        <f t="shared" ref="O7:O25" si="0">($G$10 ^N7) *$L$6</f>
        <v>3.622785181192897E-3</v>
      </c>
      <c r="P7" s="7"/>
      <c r="Q7" s="2">
        <v>41</v>
      </c>
      <c r="R7" s="2">
        <f t="shared" ref="R7:R25" si="1">($G$10 ^ Q7)*$L$6</f>
        <v>9.4496921777310173E-5</v>
      </c>
      <c r="S7" s="7"/>
      <c r="T7" s="2">
        <v>61</v>
      </c>
      <c r="U7" s="2">
        <f t="shared" ref="U7:U26" si="2">($G$10 ^ T7)*$L$6</f>
        <v>2.4648627447589232E-6</v>
      </c>
    </row>
    <row r="8" spans="1:21" x14ac:dyDescent="0.3">
      <c r="K8" s="2">
        <v>2</v>
      </c>
      <c r="L8" s="2">
        <f t="shared" ref="L8:L25" si="3">($G$10^K8)*$L$6</f>
        <v>0.11574074074074073</v>
      </c>
      <c r="M8" s="7"/>
      <c r="N8" s="2">
        <v>22</v>
      </c>
      <c r="O8" s="2">
        <f t="shared" si="0"/>
        <v>3.0189876509940814E-3</v>
      </c>
      <c r="P8" s="7"/>
      <c r="Q8" s="2">
        <v>42</v>
      </c>
      <c r="R8" s="2">
        <f t="shared" si="1"/>
        <v>7.8747434814425144E-5</v>
      </c>
      <c r="S8" s="7"/>
      <c r="T8" s="2">
        <v>62</v>
      </c>
      <c r="U8" s="2">
        <f t="shared" si="2"/>
        <v>2.0540522872991032E-6</v>
      </c>
    </row>
    <row r="9" spans="1:21" x14ac:dyDescent="0.3">
      <c r="E9" s="34" t="s">
        <v>4</v>
      </c>
      <c r="F9" s="35"/>
      <c r="G9" s="36"/>
      <c r="K9" s="2">
        <v>3</v>
      </c>
      <c r="L9" s="2">
        <f t="shared" si="3"/>
        <v>9.6450617283950615E-2</v>
      </c>
      <c r="M9" s="7"/>
      <c r="N9" s="2">
        <v>23</v>
      </c>
      <c r="O9" s="2">
        <f t="shared" si="0"/>
        <v>2.5158230424950682E-3</v>
      </c>
      <c r="P9" s="7"/>
      <c r="Q9" s="2">
        <v>43</v>
      </c>
      <c r="R9" s="2">
        <f t="shared" si="1"/>
        <v>6.5622862345354293E-5</v>
      </c>
      <c r="S9" s="7"/>
      <c r="T9" s="2">
        <v>63</v>
      </c>
      <c r="U9" s="2">
        <f t="shared" si="2"/>
        <v>1.7117102394159193E-6</v>
      </c>
    </row>
    <row r="10" spans="1:21" x14ac:dyDescent="0.3">
      <c r="E10" s="3" t="s">
        <v>5</v>
      </c>
      <c r="F10" s="5" t="s">
        <v>3</v>
      </c>
      <c r="G10" s="1">
        <f>G5/G6</f>
        <v>0.83333333333333337</v>
      </c>
      <c r="K10" s="2">
        <v>4</v>
      </c>
      <c r="L10" s="2">
        <f t="shared" si="3"/>
        <v>8.0375514403292186E-2</v>
      </c>
      <c r="M10" s="7"/>
      <c r="N10" s="2">
        <v>24</v>
      </c>
      <c r="O10" s="2">
        <f t="shared" si="0"/>
        <v>2.0965192020792238E-3</v>
      </c>
      <c r="P10" s="7"/>
      <c r="Q10" s="2">
        <v>44</v>
      </c>
      <c r="R10" s="2">
        <f t="shared" si="1"/>
        <v>5.4685718621128582E-5</v>
      </c>
      <c r="S10" s="7"/>
      <c r="T10" s="2">
        <v>64</v>
      </c>
      <c r="U10" s="2">
        <f t="shared" si="2"/>
        <v>1.4264251995132662E-6</v>
      </c>
    </row>
    <row r="11" spans="1:21" x14ac:dyDescent="0.3">
      <c r="E11" s="1" t="s">
        <v>6</v>
      </c>
      <c r="F11" s="5" t="s">
        <v>3</v>
      </c>
      <c r="G11" s="1">
        <f>G10/(1-G10)</f>
        <v>5.0000000000000018</v>
      </c>
      <c r="K11" s="2">
        <v>5</v>
      </c>
      <c r="L11" s="2">
        <f t="shared" si="3"/>
        <v>6.6979595336076822E-2</v>
      </c>
      <c r="M11" s="7"/>
      <c r="N11" s="2">
        <v>25</v>
      </c>
      <c r="O11" s="2">
        <f t="shared" si="0"/>
        <v>1.7470993350660199E-3</v>
      </c>
      <c r="P11" s="7"/>
      <c r="Q11" s="2">
        <v>45</v>
      </c>
      <c r="R11" s="2">
        <f t="shared" si="1"/>
        <v>4.5571432184273823E-5</v>
      </c>
      <c r="S11" s="7"/>
      <c r="T11" s="2">
        <v>65</v>
      </c>
      <c r="U11" s="2">
        <f t="shared" si="2"/>
        <v>1.188687666261055E-6</v>
      </c>
    </row>
    <row r="12" spans="1:21" x14ac:dyDescent="0.3">
      <c r="E12" s="1" t="s">
        <v>7</v>
      </c>
      <c r="F12" s="5" t="s">
        <v>3</v>
      </c>
      <c r="G12" s="1">
        <f>G11-G10</f>
        <v>4.1666666666666687</v>
      </c>
      <c r="K12" s="2">
        <v>6</v>
      </c>
      <c r="L12" s="2">
        <f t="shared" si="3"/>
        <v>5.5816329446730692E-2</v>
      </c>
      <c r="M12" s="7"/>
      <c r="N12" s="2">
        <v>26</v>
      </c>
      <c r="O12" s="2">
        <f t="shared" si="0"/>
        <v>1.4559161125550165E-3</v>
      </c>
      <c r="P12" s="7"/>
      <c r="Q12" s="2">
        <v>46</v>
      </c>
      <c r="R12" s="2">
        <f t="shared" si="1"/>
        <v>3.7976193486894858E-5</v>
      </c>
      <c r="S12" s="7"/>
      <c r="T12" s="2">
        <v>66</v>
      </c>
      <c r="U12" s="2">
        <f t="shared" si="2"/>
        <v>9.9057305521754609E-7</v>
      </c>
    </row>
    <row r="13" spans="1:21" x14ac:dyDescent="0.3">
      <c r="E13" s="1" t="s">
        <v>8</v>
      </c>
      <c r="F13" s="5" t="s">
        <v>3</v>
      </c>
      <c r="G13" s="1">
        <f>G11/G5</f>
        <v>0.10000000000000003</v>
      </c>
      <c r="K13" s="2">
        <v>7</v>
      </c>
      <c r="L13" s="2">
        <f t="shared" si="3"/>
        <v>4.6513607872275577E-2</v>
      </c>
      <c r="M13" s="7"/>
      <c r="N13" s="2">
        <v>27</v>
      </c>
      <c r="O13" s="2">
        <f t="shared" si="0"/>
        <v>1.2132634271291806E-3</v>
      </c>
      <c r="P13" s="7"/>
      <c r="Q13" s="2">
        <v>47</v>
      </c>
      <c r="R13" s="2">
        <f t="shared" si="1"/>
        <v>3.1646827905745718E-5</v>
      </c>
      <c r="S13" s="7"/>
      <c r="T13" s="2">
        <v>67</v>
      </c>
      <c r="U13" s="2">
        <f t="shared" si="2"/>
        <v>8.2547754601462174E-7</v>
      </c>
    </row>
    <row r="14" spans="1:21" x14ac:dyDescent="0.3">
      <c r="E14" s="1" t="s">
        <v>9</v>
      </c>
      <c r="F14" s="5" t="s">
        <v>3</v>
      </c>
      <c r="G14" s="1">
        <f>G12/G5</f>
        <v>8.333333333333337E-2</v>
      </c>
      <c r="K14" s="2">
        <v>8</v>
      </c>
      <c r="L14" s="2">
        <f t="shared" si="3"/>
        <v>3.8761339893562986E-2</v>
      </c>
      <c r="M14" s="7"/>
      <c r="N14" s="2">
        <v>28</v>
      </c>
      <c r="O14" s="2">
        <f t="shared" si="0"/>
        <v>1.011052855940984E-3</v>
      </c>
      <c r="P14" s="7"/>
      <c r="Q14" s="2">
        <v>48</v>
      </c>
      <c r="R14" s="2">
        <f t="shared" si="1"/>
        <v>2.6372356588121431E-5</v>
      </c>
      <c r="S14" s="7"/>
      <c r="T14" s="2">
        <v>68</v>
      </c>
      <c r="U14" s="2">
        <f t="shared" si="2"/>
        <v>6.8789795501218479E-7</v>
      </c>
    </row>
    <row r="15" spans="1:21" x14ac:dyDescent="0.3">
      <c r="E15" s="1" t="s">
        <v>10</v>
      </c>
      <c r="F15" s="5" t="s">
        <v>3</v>
      </c>
      <c r="G15" s="1">
        <f>1-G10</f>
        <v>0.16666666666666663</v>
      </c>
      <c r="K15" s="2">
        <v>9</v>
      </c>
      <c r="L15" s="2">
        <f t="shared" si="3"/>
        <v>3.2301116577969163E-2</v>
      </c>
      <c r="M15" s="7"/>
      <c r="N15" s="2">
        <v>29</v>
      </c>
      <c r="O15" s="2">
        <f t="shared" si="0"/>
        <v>8.4254404661748665E-4</v>
      </c>
      <c r="P15" s="7"/>
      <c r="Q15" s="2">
        <v>49</v>
      </c>
      <c r="R15" s="2">
        <f t="shared" si="1"/>
        <v>2.1976963823434527E-5</v>
      </c>
      <c r="S15" s="7"/>
      <c r="T15" s="2">
        <v>69</v>
      </c>
      <c r="U15" s="2">
        <f t="shared" si="2"/>
        <v>5.7324829584348741E-7</v>
      </c>
    </row>
    <row r="16" spans="1:21" x14ac:dyDescent="0.3">
      <c r="K16" s="2">
        <v>10</v>
      </c>
      <c r="L16" s="2">
        <f t="shared" si="3"/>
        <v>2.6917597148307635E-2</v>
      </c>
      <c r="M16" s="7"/>
      <c r="N16" s="2">
        <v>30</v>
      </c>
      <c r="O16" s="2">
        <f t="shared" si="0"/>
        <v>7.0212003884790577E-4</v>
      </c>
      <c r="P16" s="7"/>
      <c r="Q16" s="2">
        <v>50</v>
      </c>
      <c r="R16" s="2">
        <f t="shared" si="1"/>
        <v>1.8314136519528773E-5</v>
      </c>
      <c r="S16" s="7"/>
      <c r="T16" s="2">
        <v>70</v>
      </c>
      <c r="U16" s="2">
        <f t="shared" si="2"/>
        <v>4.7770691320290619E-7</v>
      </c>
    </row>
    <row r="17" spans="1:21" x14ac:dyDescent="0.3">
      <c r="K17" s="2">
        <v>11</v>
      </c>
      <c r="L17" s="2">
        <f t="shared" si="3"/>
        <v>2.243133095692303E-2</v>
      </c>
      <c r="M17" s="7"/>
      <c r="N17" s="2">
        <v>31</v>
      </c>
      <c r="O17" s="2">
        <f t="shared" si="0"/>
        <v>5.8510003237325476E-4</v>
      </c>
      <c r="P17" s="7"/>
      <c r="Q17" s="2">
        <v>51</v>
      </c>
      <c r="R17" s="2">
        <f t="shared" si="1"/>
        <v>1.5261780432940646E-5</v>
      </c>
      <c r="S17" s="7"/>
      <c r="T17" s="2">
        <v>71</v>
      </c>
      <c r="U17" s="2">
        <f t="shared" si="2"/>
        <v>3.9808909433575516E-7</v>
      </c>
    </row>
    <row r="18" spans="1:21" x14ac:dyDescent="0.3">
      <c r="K18" s="2">
        <v>12</v>
      </c>
      <c r="L18" s="2">
        <f t="shared" si="3"/>
        <v>1.8692775797435859E-2</v>
      </c>
      <c r="M18" s="7"/>
      <c r="N18" s="2">
        <v>32</v>
      </c>
      <c r="O18" s="2">
        <f t="shared" si="0"/>
        <v>4.8758336031104563E-4</v>
      </c>
      <c r="P18" s="7"/>
      <c r="Q18" s="2">
        <v>52</v>
      </c>
      <c r="R18" s="2">
        <f t="shared" si="1"/>
        <v>1.2718150360783875E-5</v>
      </c>
      <c r="S18" s="7"/>
      <c r="T18" s="2">
        <v>72</v>
      </c>
      <c r="U18" s="2">
        <f t="shared" si="2"/>
        <v>3.3174091194646276E-7</v>
      </c>
    </row>
    <row r="19" spans="1:21" x14ac:dyDescent="0.3">
      <c r="K19" s="2">
        <v>13</v>
      </c>
      <c r="L19" s="2">
        <f t="shared" si="3"/>
        <v>1.5577313164529883E-2</v>
      </c>
      <c r="M19" s="7"/>
      <c r="N19" s="2">
        <v>33</v>
      </c>
      <c r="O19" s="2">
        <f t="shared" si="0"/>
        <v>4.0631946692587138E-4</v>
      </c>
      <c r="P19" s="7"/>
      <c r="Q19" s="2">
        <v>53</v>
      </c>
      <c r="R19" s="2">
        <f t="shared" si="1"/>
        <v>1.059845863398656E-5</v>
      </c>
      <c r="S19" s="7"/>
      <c r="T19" s="2">
        <v>73</v>
      </c>
      <c r="U19" s="2">
        <f t="shared" si="2"/>
        <v>2.7645075995538563E-7</v>
      </c>
    </row>
    <row r="20" spans="1:21" x14ac:dyDescent="0.3">
      <c r="K20" s="2">
        <v>14</v>
      </c>
      <c r="L20" s="2">
        <f t="shared" si="3"/>
        <v>1.2981094303774907E-2</v>
      </c>
      <c r="M20" s="7"/>
      <c r="N20" s="2">
        <v>34</v>
      </c>
      <c r="O20" s="2">
        <f t="shared" si="0"/>
        <v>3.3859955577155955E-4</v>
      </c>
      <c r="P20" s="7"/>
      <c r="Q20" s="2">
        <v>54</v>
      </c>
      <c r="R20" s="2">
        <f t="shared" si="1"/>
        <v>8.8320488616554692E-6</v>
      </c>
      <c r="S20" s="7"/>
      <c r="T20" s="2">
        <v>74</v>
      </c>
      <c r="U20" s="2">
        <f t="shared" si="2"/>
        <v>2.3037563329615471E-7</v>
      </c>
    </row>
    <row r="21" spans="1:21" x14ac:dyDescent="0.3">
      <c r="K21" s="2">
        <v>15</v>
      </c>
      <c r="L21" s="2">
        <f t="shared" si="3"/>
        <v>1.0817578586479089E-2</v>
      </c>
      <c r="M21" s="7"/>
      <c r="N21" s="2">
        <v>35</v>
      </c>
      <c r="O21" s="2">
        <f t="shared" si="0"/>
        <v>2.821662964762996E-4</v>
      </c>
      <c r="P21" s="7"/>
      <c r="Q21" s="2">
        <v>55</v>
      </c>
      <c r="R21" s="2">
        <f t="shared" si="1"/>
        <v>7.3600407180462238E-6</v>
      </c>
      <c r="S21" s="7"/>
      <c r="T21" s="2">
        <v>75</v>
      </c>
      <c r="U21" s="2">
        <f t="shared" si="2"/>
        <v>1.9197969441346228E-7</v>
      </c>
    </row>
    <row r="22" spans="1:21" x14ac:dyDescent="0.3">
      <c r="K22" s="2">
        <v>16</v>
      </c>
      <c r="L22" s="2">
        <f t="shared" si="3"/>
        <v>9.0146488220659085E-3</v>
      </c>
      <c r="M22" s="7"/>
      <c r="N22" s="2">
        <v>36</v>
      </c>
      <c r="O22" s="2">
        <f t="shared" si="0"/>
        <v>2.3513858039691634E-4</v>
      </c>
      <c r="P22" s="7"/>
      <c r="Q22" s="2">
        <v>56</v>
      </c>
      <c r="R22" s="2">
        <f t="shared" si="1"/>
        <v>6.1333672650385211E-6</v>
      </c>
      <c r="S22" s="7"/>
      <c r="T22" s="2">
        <v>76</v>
      </c>
      <c r="U22" s="2">
        <f t="shared" si="2"/>
        <v>1.5998307867788523E-7</v>
      </c>
    </row>
    <row r="23" spans="1:21" x14ac:dyDescent="0.3">
      <c r="K23" s="2">
        <v>17</v>
      </c>
      <c r="L23" s="2">
        <f t="shared" si="3"/>
        <v>7.5122073517215901E-3</v>
      </c>
      <c r="M23" s="7"/>
      <c r="N23" s="2">
        <v>37</v>
      </c>
      <c r="O23" s="2">
        <f t="shared" si="0"/>
        <v>1.9594881699743028E-4</v>
      </c>
      <c r="P23" s="7"/>
      <c r="Q23" s="2">
        <v>57</v>
      </c>
      <c r="R23" s="2">
        <f t="shared" si="1"/>
        <v>5.1111393875321018E-6</v>
      </c>
      <c r="S23" s="7"/>
      <c r="T23" s="2">
        <v>77</v>
      </c>
      <c r="U23" s="2">
        <f t="shared" si="2"/>
        <v>1.3331923223157102E-7</v>
      </c>
    </row>
    <row r="24" spans="1:21" x14ac:dyDescent="0.3">
      <c r="K24" s="2">
        <v>18</v>
      </c>
      <c r="L24" s="2">
        <f t="shared" si="3"/>
        <v>6.2601727931013255E-3</v>
      </c>
      <c r="M24" s="7"/>
      <c r="N24" s="2">
        <v>38</v>
      </c>
      <c r="O24" s="2">
        <f t="shared" si="0"/>
        <v>1.6329068083119195E-4</v>
      </c>
      <c r="P24" s="7"/>
      <c r="Q24" s="2">
        <v>58</v>
      </c>
      <c r="R24" s="2">
        <f t="shared" si="1"/>
        <v>4.2592828229434183E-6</v>
      </c>
      <c r="S24" s="7"/>
      <c r="T24" s="2">
        <v>78</v>
      </c>
      <c r="U24" s="2">
        <f t="shared" si="2"/>
        <v>1.1109936019297588E-7</v>
      </c>
    </row>
    <row r="25" spans="1:21" x14ac:dyDescent="0.3">
      <c r="K25" s="2">
        <v>19</v>
      </c>
      <c r="L25" s="2">
        <f t="shared" si="3"/>
        <v>5.2168106609177716E-3</v>
      </c>
      <c r="M25" s="7"/>
      <c r="N25" s="2">
        <v>39</v>
      </c>
      <c r="O25" s="2">
        <f t="shared" si="0"/>
        <v>1.3607556735932661E-4</v>
      </c>
      <c r="P25" s="7"/>
      <c r="Q25" s="2">
        <v>59</v>
      </c>
      <c r="R25" s="2">
        <f t="shared" si="1"/>
        <v>3.5494023524528487E-6</v>
      </c>
      <c r="S25" s="7"/>
      <c r="T25" s="2">
        <v>79</v>
      </c>
      <c r="U25" s="2">
        <f t="shared" si="2"/>
        <v>9.2582800160813233E-8</v>
      </c>
    </row>
    <row r="26" spans="1:21" x14ac:dyDescent="0.3">
      <c r="T26" s="2">
        <v>80</v>
      </c>
      <c r="U26" s="2">
        <f t="shared" si="2"/>
        <v>7.7152333467344372E-8</v>
      </c>
    </row>
    <row r="27" spans="1:21" x14ac:dyDescent="0.3">
      <c r="I27" s="29"/>
    </row>
    <row r="32" spans="1:21" x14ac:dyDescent="0.3">
      <c r="A32" t="s">
        <v>37</v>
      </c>
    </row>
    <row r="34" spans="5:8" x14ac:dyDescent="0.3">
      <c r="E34" s="34" t="s">
        <v>0</v>
      </c>
      <c r="F34" s="35"/>
      <c r="G34" s="36"/>
    </row>
    <row r="35" spans="5:8" x14ac:dyDescent="0.3">
      <c r="E35" s="4" t="s">
        <v>1</v>
      </c>
      <c r="F35" s="6" t="s">
        <v>3</v>
      </c>
      <c r="G35" s="1">
        <f>15/8</f>
        <v>1.875</v>
      </c>
    </row>
    <row r="36" spans="5:8" x14ac:dyDescent="0.3">
      <c r="E36" s="4" t="s">
        <v>2</v>
      </c>
      <c r="F36" s="6" t="s">
        <v>3</v>
      </c>
      <c r="G36" s="1">
        <f>3</f>
        <v>3</v>
      </c>
    </row>
    <row r="40" spans="5:8" x14ac:dyDescent="0.3">
      <c r="E40" s="34" t="s">
        <v>4</v>
      </c>
      <c r="F40" s="35"/>
      <c r="G40" s="36"/>
    </row>
    <row r="41" spans="5:8" x14ac:dyDescent="0.3">
      <c r="E41" s="3" t="s">
        <v>5</v>
      </c>
      <c r="F41" s="5" t="s">
        <v>3</v>
      </c>
      <c r="G41" s="1">
        <f>G35/G36</f>
        <v>0.625</v>
      </c>
    </row>
    <row r="42" spans="5:8" x14ac:dyDescent="0.3">
      <c r="E42" s="1" t="s">
        <v>6</v>
      </c>
      <c r="F42" s="5" t="s">
        <v>3</v>
      </c>
      <c r="G42" s="1">
        <f>G41/(1-G41)</f>
        <v>1.6666666666666667</v>
      </c>
    </row>
    <row r="43" spans="5:8" x14ac:dyDescent="0.3">
      <c r="E43" s="1" t="s">
        <v>7</v>
      </c>
      <c r="F43" s="5" t="s">
        <v>3</v>
      </c>
      <c r="G43" s="1">
        <f>G42-G41</f>
        <v>1.0416666666666667</v>
      </c>
    </row>
    <row r="44" spans="5:8" x14ac:dyDescent="0.3">
      <c r="E44" s="1" t="s">
        <v>8</v>
      </c>
      <c r="F44" s="5" t="s">
        <v>3</v>
      </c>
      <c r="G44" s="1">
        <f>G42/G36</f>
        <v>0.55555555555555558</v>
      </c>
      <c r="H44" t="s">
        <v>53</v>
      </c>
    </row>
    <row r="45" spans="5:8" x14ac:dyDescent="0.3">
      <c r="E45" s="1" t="s">
        <v>9</v>
      </c>
      <c r="F45" s="5" t="s">
        <v>3</v>
      </c>
      <c r="G45" s="1">
        <f>G43/G36</f>
        <v>0.34722222222222227</v>
      </c>
      <c r="H45" t="s">
        <v>53</v>
      </c>
    </row>
    <row r="46" spans="5:8" x14ac:dyDescent="0.3">
      <c r="E46" s="1" t="s">
        <v>10</v>
      </c>
      <c r="F46" s="5" t="s">
        <v>3</v>
      </c>
      <c r="G46" s="1">
        <f>1-G41</f>
        <v>0.375</v>
      </c>
    </row>
  </sheetData>
  <mergeCells count="4">
    <mergeCell ref="E4:G4"/>
    <mergeCell ref="E9:G9"/>
    <mergeCell ref="E34:G34"/>
    <mergeCell ref="E40:G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3"/>
  <sheetViews>
    <sheetView topLeftCell="A37" workbookViewId="0">
      <selection activeCell="H59" sqref="H59"/>
    </sheetView>
  </sheetViews>
  <sheetFormatPr defaultRowHeight="14.4" x14ac:dyDescent="0.3"/>
  <cols>
    <col min="1" max="1" width="11.77734375" customWidth="1"/>
    <col min="13" max="13" width="10.88671875" bestFit="1" customWidth="1"/>
    <col min="16" max="16" width="12" bestFit="1" customWidth="1"/>
  </cols>
  <sheetData>
    <row r="2" spans="1:16" x14ac:dyDescent="0.3">
      <c r="H2" s="37" t="s">
        <v>13</v>
      </c>
      <c r="I2" s="37"/>
      <c r="J2" s="37"/>
    </row>
    <row r="3" spans="1:16" x14ac:dyDescent="0.3">
      <c r="A3" t="s">
        <v>36</v>
      </c>
    </row>
    <row r="5" spans="1:16" ht="15.6" x14ac:dyDescent="0.3">
      <c r="E5" s="34" t="s">
        <v>0</v>
      </c>
      <c r="F5" s="35"/>
      <c r="G5" s="35"/>
      <c r="H5" s="36"/>
      <c r="L5" s="42" t="s">
        <v>11</v>
      </c>
      <c r="M5" s="42" t="s">
        <v>12</v>
      </c>
      <c r="N5" s="27"/>
      <c r="O5" s="42" t="s">
        <v>11</v>
      </c>
      <c r="P5" s="42" t="s">
        <v>12</v>
      </c>
    </row>
    <row r="6" spans="1:16" x14ac:dyDescent="0.3">
      <c r="E6" s="11" t="s">
        <v>1</v>
      </c>
      <c r="F6" s="12" t="s">
        <v>3</v>
      </c>
      <c r="G6" s="13">
        <v>15</v>
      </c>
      <c r="H6" s="9" t="s">
        <v>16</v>
      </c>
      <c r="L6" s="29">
        <v>0</v>
      </c>
      <c r="M6" s="43">
        <f>G18</f>
        <v>0.54545454545454541</v>
      </c>
      <c r="N6" s="27"/>
      <c r="O6" s="29">
        <v>25</v>
      </c>
      <c r="P6" s="29">
        <f>POWER($G$6/$G$7,O6) * $M$6</f>
        <v>1.500346414236547E-9</v>
      </c>
    </row>
    <row r="7" spans="1:16" x14ac:dyDescent="0.3">
      <c r="E7" s="8" t="s">
        <v>18</v>
      </c>
      <c r="F7" s="9" t="s">
        <v>3</v>
      </c>
      <c r="G7" s="10">
        <v>33</v>
      </c>
      <c r="H7" s="9" t="s">
        <v>16</v>
      </c>
      <c r="L7" s="29">
        <v>1</v>
      </c>
      <c r="M7" s="29">
        <f>POWER($G$6/$G$7, L7 ) * M6</f>
        <v>0.24793388429752064</v>
      </c>
      <c r="N7" s="27"/>
      <c r="O7" s="29">
        <v>26</v>
      </c>
      <c r="P7" s="29">
        <f t="shared" ref="P7:P31" si="0">POWER($G$6/$G$7,O7) * $M$6</f>
        <v>6.8197564283479394E-10</v>
      </c>
    </row>
    <row r="8" spans="1:16" x14ac:dyDescent="0.3">
      <c r="E8" s="8" t="s">
        <v>14</v>
      </c>
      <c r="F8" s="9" t="s">
        <v>3</v>
      </c>
      <c r="G8" s="10">
        <v>50</v>
      </c>
      <c r="H8" s="10" t="s">
        <v>15</v>
      </c>
      <c r="L8" s="29">
        <v>2</v>
      </c>
      <c r="M8" s="29">
        <f>POWER($G$6/$G$7, L8 ) * $M$6</f>
        <v>0.11269722013523664</v>
      </c>
      <c r="N8" s="27"/>
      <c r="O8" s="29">
        <v>27</v>
      </c>
      <c r="P8" s="29">
        <f t="shared" si="0"/>
        <v>3.0998892856127E-10</v>
      </c>
    </row>
    <row r="9" spans="1:16" x14ac:dyDescent="0.3">
      <c r="L9" s="29">
        <v>3</v>
      </c>
      <c r="M9" s="29">
        <f t="shared" ref="M9:M31" si="1">POWER($G$6/$G$7, L9 ) * $M$6</f>
        <v>5.1226009152380292E-2</v>
      </c>
      <c r="N9" s="27"/>
      <c r="O9" s="29">
        <v>28</v>
      </c>
      <c r="P9" s="29">
        <f t="shared" si="0"/>
        <v>1.4090405843694092E-10</v>
      </c>
    </row>
    <row r="10" spans="1:16" x14ac:dyDescent="0.3">
      <c r="L10" s="29">
        <v>4</v>
      </c>
      <c r="M10" s="29">
        <f t="shared" si="1"/>
        <v>2.3284549614718313E-2</v>
      </c>
      <c r="N10" s="27"/>
      <c r="O10" s="29">
        <v>29</v>
      </c>
      <c r="P10" s="29">
        <f t="shared" si="0"/>
        <v>6.4047299289518578E-11</v>
      </c>
    </row>
    <row r="11" spans="1:16" x14ac:dyDescent="0.3">
      <c r="L11" s="29">
        <v>5</v>
      </c>
      <c r="M11" s="29">
        <f t="shared" si="1"/>
        <v>1.0583886188508324E-2</v>
      </c>
      <c r="N11" s="27"/>
      <c r="O11" s="29">
        <v>30</v>
      </c>
      <c r="P11" s="29">
        <f t="shared" si="0"/>
        <v>2.9112408767962989E-11</v>
      </c>
    </row>
    <row r="12" spans="1:16" x14ac:dyDescent="0.3">
      <c r="E12" s="37" t="s">
        <v>17</v>
      </c>
      <c r="F12" s="37"/>
      <c r="G12" s="37"/>
      <c r="H12" s="37"/>
      <c r="L12" s="29">
        <v>6</v>
      </c>
      <c r="M12" s="29">
        <f t="shared" si="1"/>
        <v>4.810857358412874E-3</v>
      </c>
      <c r="N12" s="27"/>
      <c r="O12" s="29">
        <v>31</v>
      </c>
      <c r="P12" s="29">
        <f t="shared" si="0"/>
        <v>1.3232913076346813E-11</v>
      </c>
    </row>
    <row r="13" spans="1:16" x14ac:dyDescent="0.3">
      <c r="E13" s="8" t="s">
        <v>5</v>
      </c>
      <c r="F13" s="9" t="s">
        <v>3</v>
      </c>
      <c r="G13" s="15">
        <f>G6/G7</f>
        <v>0.45454545454545453</v>
      </c>
      <c r="H13" s="10"/>
      <c r="L13" s="29">
        <v>7</v>
      </c>
      <c r="M13" s="29">
        <f t="shared" si="1"/>
        <v>2.1867533447331245E-3</v>
      </c>
      <c r="N13" s="27"/>
      <c r="O13" s="29">
        <v>32</v>
      </c>
      <c r="P13" s="29">
        <f t="shared" si="0"/>
        <v>6.0149604892485515E-12</v>
      </c>
    </row>
    <row r="14" spans="1:16" x14ac:dyDescent="0.3">
      <c r="E14" s="10" t="s">
        <v>19</v>
      </c>
      <c r="F14" s="9" t="s">
        <v>3</v>
      </c>
      <c r="G14" s="15">
        <f>(G13/(1-G13)) - (G8+1)*(G13^(G8+1)) / (1 - (G13^(G8+1)))</f>
        <v>0.83333333333333315</v>
      </c>
      <c r="H14" s="10"/>
      <c r="L14" s="29">
        <v>8</v>
      </c>
      <c r="M14" s="29">
        <f t="shared" si="1"/>
        <v>9.939787930605111E-4</v>
      </c>
      <c r="N14" s="27"/>
      <c r="O14" s="29">
        <v>33</v>
      </c>
      <c r="P14" s="29">
        <f t="shared" si="0"/>
        <v>2.7340729496584325E-12</v>
      </c>
    </row>
    <row r="15" spans="1:16" x14ac:dyDescent="0.3">
      <c r="E15" s="10" t="s">
        <v>20</v>
      </c>
      <c r="F15" s="9" t="s">
        <v>3</v>
      </c>
      <c r="G15" s="15">
        <f>G14-G13</f>
        <v>0.37878787878787862</v>
      </c>
      <c r="H15" s="10"/>
      <c r="L15" s="29">
        <v>9</v>
      </c>
      <c r="M15" s="29">
        <f t="shared" si="1"/>
        <v>4.5180854230023228E-4</v>
      </c>
      <c r="N15" s="27"/>
      <c r="O15" s="29">
        <v>34</v>
      </c>
      <c r="P15" s="29">
        <f t="shared" si="0"/>
        <v>1.2427604316629238E-12</v>
      </c>
    </row>
    <row r="16" spans="1:16" x14ac:dyDescent="0.3">
      <c r="E16" s="10" t="s">
        <v>21</v>
      </c>
      <c r="F16" s="9" t="s">
        <v>3</v>
      </c>
      <c r="G16" s="14">
        <f>G14/G6</f>
        <v>5.5555555555555546E-2</v>
      </c>
      <c r="H16" s="10"/>
      <c r="L16" s="29">
        <v>10</v>
      </c>
      <c r="M16" s="29">
        <f t="shared" si="1"/>
        <v>2.053675192273783E-4</v>
      </c>
      <c r="N16" s="27"/>
      <c r="O16" s="29">
        <v>35</v>
      </c>
      <c r="P16" s="29">
        <f t="shared" si="0"/>
        <v>5.6489110530132901E-13</v>
      </c>
    </row>
    <row r="17" spans="5:16" x14ac:dyDescent="0.3">
      <c r="E17" s="10" t="s">
        <v>22</v>
      </c>
      <c r="F17" s="9" t="s">
        <v>3</v>
      </c>
      <c r="G17" s="14">
        <f>G15/G6</f>
        <v>2.5252525252525242E-2</v>
      </c>
      <c r="H17" s="10"/>
      <c r="L17" s="29">
        <v>11</v>
      </c>
      <c r="M17" s="29">
        <f t="shared" si="1"/>
        <v>9.3348872376081043E-5</v>
      </c>
      <c r="N17" s="27"/>
      <c r="O17" s="29">
        <v>36</v>
      </c>
      <c r="P17" s="29">
        <f t="shared" si="0"/>
        <v>2.5676868422787678E-13</v>
      </c>
    </row>
    <row r="18" spans="5:16" x14ac:dyDescent="0.3">
      <c r="E18" s="10" t="s">
        <v>23</v>
      </c>
      <c r="F18" s="9" t="s">
        <v>3</v>
      </c>
      <c r="G18" s="15">
        <f>(1-G13)/(1-(G13^(G8+1)))</f>
        <v>0.54545454545454541</v>
      </c>
      <c r="H18" s="10"/>
      <c r="L18" s="29">
        <v>12</v>
      </c>
      <c r="M18" s="29">
        <f t="shared" si="1"/>
        <v>4.243130562549138E-5</v>
      </c>
      <c r="N18" s="27"/>
      <c r="O18" s="29">
        <v>37</v>
      </c>
      <c r="P18" s="29">
        <f t="shared" si="0"/>
        <v>1.1671303828539853E-13</v>
      </c>
    </row>
    <row r="19" spans="5:16" x14ac:dyDescent="0.3">
      <c r="L19" s="29">
        <v>13</v>
      </c>
      <c r="M19" s="29">
        <f t="shared" si="1"/>
        <v>1.9286957102496078E-5</v>
      </c>
      <c r="N19" s="27"/>
      <c r="O19" s="29">
        <v>38</v>
      </c>
      <c r="P19" s="29">
        <f t="shared" si="0"/>
        <v>5.3051381038817506E-14</v>
      </c>
    </row>
    <row r="20" spans="5:16" x14ac:dyDescent="0.3">
      <c r="L20" s="29">
        <v>14</v>
      </c>
      <c r="M20" s="29">
        <f t="shared" si="1"/>
        <v>8.7667986829527619E-6</v>
      </c>
      <c r="N20" s="27"/>
      <c r="O20" s="29">
        <v>39</v>
      </c>
      <c r="P20" s="29">
        <f t="shared" si="0"/>
        <v>2.4114264108553414E-14</v>
      </c>
    </row>
    <row r="21" spans="5:16" x14ac:dyDescent="0.3">
      <c r="L21" s="29">
        <v>15</v>
      </c>
      <c r="M21" s="29">
        <f t="shared" si="1"/>
        <v>3.9849084922512559E-6</v>
      </c>
      <c r="N21" s="27"/>
      <c r="O21" s="29">
        <v>40</v>
      </c>
      <c r="P21" s="29">
        <f t="shared" si="0"/>
        <v>1.0961029140251551E-14</v>
      </c>
    </row>
    <row r="22" spans="5:16" x14ac:dyDescent="0.3">
      <c r="L22" s="29">
        <v>16</v>
      </c>
      <c r="M22" s="29">
        <f t="shared" si="1"/>
        <v>1.8113220419323888E-6</v>
      </c>
      <c r="N22" s="27"/>
      <c r="O22" s="29">
        <v>41</v>
      </c>
      <c r="P22" s="29">
        <f t="shared" si="0"/>
        <v>4.9822859728416141E-15</v>
      </c>
    </row>
    <row r="23" spans="5:16" x14ac:dyDescent="0.3">
      <c r="L23" s="29">
        <v>17</v>
      </c>
      <c r="M23" s="29">
        <f t="shared" si="1"/>
        <v>8.2332820087835859E-7</v>
      </c>
      <c r="N23" s="27"/>
      <c r="O23" s="29">
        <v>42</v>
      </c>
      <c r="P23" s="29">
        <f t="shared" si="0"/>
        <v>2.2646754422007334E-15</v>
      </c>
    </row>
    <row r="24" spans="5:16" x14ac:dyDescent="0.3">
      <c r="L24" s="29">
        <v>18</v>
      </c>
      <c r="M24" s="29">
        <f t="shared" si="1"/>
        <v>3.7424009130834478E-7</v>
      </c>
      <c r="N24" s="27"/>
      <c r="O24" s="29">
        <v>43</v>
      </c>
      <c r="P24" s="29">
        <f t="shared" si="0"/>
        <v>1.0293979282730607E-15</v>
      </c>
    </row>
    <row r="25" spans="5:16" x14ac:dyDescent="0.3">
      <c r="L25" s="29">
        <v>19</v>
      </c>
      <c r="M25" s="29">
        <f t="shared" si="1"/>
        <v>1.7010913241288399E-7</v>
      </c>
      <c r="N25" s="27"/>
      <c r="O25" s="29">
        <v>44</v>
      </c>
      <c r="P25" s="29">
        <f t="shared" si="0"/>
        <v>4.6790814921502757E-16</v>
      </c>
    </row>
    <row r="26" spans="5:16" x14ac:dyDescent="0.3">
      <c r="L26" s="29">
        <v>20</v>
      </c>
      <c r="M26" s="29">
        <f t="shared" si="1"/>
        <v>7.7322332914947251E-8</v>
      </c>
      <c r="N26" s="27"/>
      <c r="O26" s="29">
        <v>45</v>
      </c>
      <c r="P26" s="29">
        <f t="shared" si="0"/>
        <v>2.1268552237046702E-16</v>
      </c>
    </row>
    <row r="27" spans="5:16" x14ac:dyDescent="0.3">
      <c r="L27" s="29">
        <v>21</v>
      </c>
      <c r="M27" s="29">
        <f t="shared" si="1"/>
        <v>3.5146514961339667E-8</v>
      </c>
      <c r="N27" s="27"/>
      <c r="O27" s="29">
        <v>46</v>
      </c>
      <c r="P27" s="29">
        <f t="shared" si="0"/>
        <v>9.6675237441121364E-17</v>
      </c>
    </row>
    <row r="28" spans="5:16" x14ac:dyDescent="0.3">
      <c r="L28" s="29">
        <v>22</v>
      </c>
      <c r="M28" s="29">
        <f t="shared" si="1"/>
        <v>1.5975688618790755E-8</v>
      </c>
      <c r="N28" s="27"/>
      <c r="O28" s="29">
        <v>47</v>
      </c>
      <c r="P28" s="29">
        <f t="shared" si="0"/>
        <v>4.3943289745964261E-17</v>
      </c>
    </row>
    <row r="29" spans="5:16" x14ac:dyDescent="0.3">
      <c r="L29" s="29">
        <v>23</v>
      </c>
      <c r="M29" s="29">
        <f t="shared" si="1"/>
        <v>7.2616766449048878E-9</v>
      </c>
      <c r="N29" s="27"/>
      <c r="O29" s="29">
        <v>48</v>
      </c>
      <c r="P29" s="29">
        <f t="shared" si="0"/>
        <v>1.9974222611801933E-17</v>
      </c>
    </row>
    <row r="30" spans="5:16" x14ac:dyDescent="0.3">
      <c r="L30" s="29">
        <v>24</v>
      </c>
      <c r="M30" s="29">
        <f t="shared" si="1"/>
        <v>3.3007621113204029E-9</v>
      </c>
      <c r="N30" s="27"/>
      <c r="O30" s="29">
        <v>49</v>
      </c>
      <c r="P30" s="29">
        <f t="shared" si="0"/>
        <v>9.0791920962736059E-18</v>
      </c>
    </row>
    <row r="31" spans="5:16" x14ac:dyDescent="0.3">
      <c r="L31" s="29">
        <v>25</v>
      </c>
      <c r="M31" s="29">
        <f t="shared" si="1"/>
        <v>1.500346414236547E-9</v>
      </c>
      <c r="N31" s="27"/>
      <c r="O31" s="29">
        <v>50</v>
      </c>
      <c r="P31" s="29">
        <f t="shared" si="0"/>
        <v>4.1269054983061843E-18</v>
      </c>
    </row>
    <row r="40" spans="1:13" x14ac:dyDescent="0.3">
      <c r="A40" t="s">
        <v>37</v>
      </c>
    </row>
    <row r="42" spans="1:13" ht="15.6" x14ac:dyDescent="0.3">
      <c r="E42" s="34" t="s">
        <v>0</v>
      </c>
      <c r="F42" s="35"/>
      <c r="G42" s="35"/>
      <c r="H42" s="36"/>
      <c r="L42" s="42" t="s">
        <v>11</v>
      </c>
      <c r="M42" s="42" t="s">
        <v>12</v>
      </c>
    </row>
    <row r="43" spans="1:13" x14ac:dyDescent="0.3">
      <c r="E43" s="11" t="s">
        <v>1</v>
      </c>
      <c r="F43" s="12" t="s">
        <v>3</v>
      </c>
      <c r="G43" s="13">
        <v>6</v>
      </c>
      <c r="H43" s="9" t="s">
        <v>27</v>
      </c>
      <c r="L43" s="29">
        <v>0</v>
      </c>
      <c r="M43" s="44">
        <f>G55</f>
        <v>0.53333333333333333</v>
      </c>
    </row>
    <row r="44" spans="1:13" x14ac:dyDescent="0.3">
      <c r="E44" s="8" t="s">
        <v>18</v>
      </c>
      <c r="F44" s="9" t="s">
        <v>3</v>
      </c>
      <c r="G44" s="28">
        <v>12</v>
      </c>
      <c r="H44" s="9" t="s">
        <v>27</v>
      </c>
      <c r="L44" s="29">
        <v>1</v>
      </c>
      <c r="M44" s="45">
        <f>POWER($G$43/$G$44,L44) * $M$43</f>
        <v>0.26666666666666666</v>
      </c>
    </row>
    <row r="45" spans="1:13" x14ac:dyDescent="0.3">
      <c r="E45" s="8" t="s">
        <v>14</v>
      </c>
      <c r="F45" s="9" t="s">
        <v>3</v>
      </c>
      <c r="G45" s="28">
        <v>3</v>
      </c>
      <c r="H45" s="28" t="s">
        <v>15</v>
      </c>
      <c r="L45" s="29">
        <v>2</v>
      </c>
      <c r="M45" s="45">
        <f t="shared" ref="M45:M63" si="2">POWER($G$43/$G$44,L45) * $M$43</f>
        <v>0.13333333333333333</v>
      </c>
    </row>
    <row r="46" spans="1:13" x14ac:dyDescent="0.3">
      <c r="L46" s="29">
        <v>3</v>
      </c>
      <c r="M46" s="45">
        <f t="shared" si="2"/>
        <v>6.6666666666666666E-2</v>
      </c>
    </row>
    <row r="47" spans="1:13" x14ac:dyDescent="0.3">
      <c r="L47" s="29">
        <v>4</v>
      </c>
      <c r="M47" s="45">
        <f t="shared" si="2"/>
        <v>3.3333333333333333E-2</v>
      </c>
    </row>
    <row r="48" spans="1:13" x14ac:dyDescent="0.3">
      <c r="L48" s="29">
        <v>5</v>
      </c>
      <c r="M48" s="45">
        <f t="shared" si="2"/>
        <v>1.6666666666666666E-2</v>
      </c>
    </row>
    <row r="49" spans="5:13" x14ac:dyDescent="0.3">
      <c r="E49" s="37" t="s">
        <v>17</v>
      </c>
      <c r="F49" s="37"/>
      <c r="G49" s="37"/>
      <c r="H49" s="37"/>
      <c r="L49" s="29">
        <v>6</v>
      </c>
      <c r="M49" s="45">
        <f t="shared" si="2"/>
        <v>8.3333333333333332E-3</v>
      </c>
    </row>
    <row r="50" spans="5:13" x14ac:dyDescent="0.3">
      <c r="E50" s="8" t="s">
        <v>5</v>
      </c>
      <c r="F50" s="9" t="s">
        <v>3</v>
      </c>
      <c r="G50" s="15">
        <f>G43/G44</f>
        <v>0.5</v>
      </c>
      <c r="H50" s="28"/>
      <c r="L50" s="29">
        <v>7</v>
      </c>
      <c r="M50" s="45">
        <f t="shared" si="2"/>
        <v>4.1666666666666666E-3</v>
      </c>
    </row>
    <row r="51" spans="5:13" x14ac:dyDescent="0.3">
      <c r="E51" s="28" t="s">
        <v>19</v>
      </c>
      <c r="F51" s="9" t="s">
        <v>3</v>
      </c>
      <c r="G51" s="15">
        <f>(G50/(1-G50)) - (G45+1)*(G50^(G45+1)) / (1 - (G50^(G45+1)))</f>
        <v>0.73333333333333339</v>
      </c>
      <c r="H51" s="28" t="s">
        <v>15</v>
      </c>
      <c r="L51" s="29">
        <v>8</v>
      </c>
      <c r="M51" s="45">
        <f t="shared" si="2"/>
        <v>2.0833333333333333E-3</v>
      </c>
    </row>
    <row r="52" spans="5:13" x14ac:dyDescent="0.3">
      <c r="E52" s="28" t="s">
        <v>20</v>
      </c>
      <c r="F52" s="9" t="s">
        <v>3</v>
      </c>
      <c r="G52" s="15">
        <f>G51-G50</f>
        <v>0.23333333333333339</v>
      </c>
      <c r="H52" s="28" t="s">
        <v>15</v>
      </c>
      <c r="L52" s="29">
        <v>9</v>
      </c>
      <c r="M52" s="45">
        <f t="shared" si="2"/>
        <v>1.0416666666666667E-3</v>
      </c>
    </row>
    <row r="53" spans="5:13" x14ac:dyDescent="0.3">
      <c r="E53" s="28" t="s">
        <v>21</v>
      </c>
      <c r="F53" s="9" t="s">
        <v>3</v>
      </c>
      <c r="G53" s="14">
        <f>G51/G43</f>
        <v>0.12222222222222223</v>
      </c>
      <c r="H53" s="28" t="s">
        <v>53</v>
      </c>
      <c r="L53" s="29">
        <v>10</v>
      </c>
      <c r="M53" s="45">
        <f t="shared" si="2"/>
        <v>5.2083333333333333E-4</v>
      </c>
    </row>
    <row r="54" spans="5:13" x14ac:dyDescent="0.3">
      <c r="E54" s="28" t="s">
        <v>22</v>
      </c>
      <c r="F54" s="9" t="s">
        <v>3</v>
      </c>
      <c r="G54" s="14">
        <f>G52/G43</f>
        <v>3.8888888888888896E-2</v>
      </c>
      <c r="H54" s="28" t="s">
        <v>53</v>
      </c>
      <c r="L54" s="29">
        <v>11</v>
      </c>
      <c r="M54" s="45">
        <f t="shared" si="2"/>
        <v>2.6041666666666666E-4</v>
      </c>
    </row>
    <row r="55" spans="5:13" x14ac:dyDescent="0.3">
      <c r="E55" s="28" t="s">
        <v>23</v>
      </c>
      <c r="F55" s="9" t="s">
        <v>3</v>
      </c>
      <c r="G55" s="15">
        <f>(1-G50)/(1-(G50^(G45+1)))</f>
        <v>0.53333333333333333</v>
      </c>
      <c r="H55" s="28"/>
      <c r="L55" s="29">
        <v>12</v>
      </c>
      <c r="M55" s="45">
        <f t="shared" si="2"/>
        <v>1.3020833333333333E-4</v>
      </c>
    </row>
    <row r="56" spans="5:13" x14ac:dyDescent="0.3">
      <c r="L56" s="29">
        <v>13</v>
      </c>
      <c r="M56" s="45">
        <f t="shared" si="2"/>
        <v>6.5104166666666666E-5</v>
      </c>
    </row>
    <row r="57" spans="5:13" x14ac:dyDescent="0.3">
      <c r="L57" s="29">
        <v>14</v>
      </c>
      <c r="M57" s="45">
        <f t="shared" si="2"/>
        <v>3.2552083333333333E-5</v>
      </c>
    </row>
    <row r="58" spans="5:13" x14ac:dyDescent="0.3">
      <c r="L58" s="29">
        <v>15</v>
      </c>
      <c r="M58" s="45">
        <f t="shared" si="2"/>
        <v>1.6276041666666666E-5</v>
      </c>
    </row>
    <row r="59" spans="5:13" x14ac:dyDescent="0.3">
      <c r="L59" s="29">
        <v>16</v>
      </c>
      <c r="M59" s="45">
        <f t="shared" si="2"/>
        <v>8.1380208333333332E-6</v>
      </c>
    </row>
    <row r="60" spans="5:13" x14ac:dyDescent="0.3">
      <c r="L60" s="29">
        <v>17</v>
      </c>
      <c r="M60" s="45">
        <f t="shared" si="2"/>
        <v>4.0690104166666666E-6</v>
      </c>
    </row>
    <row r="61" spans="5:13" x14ac:dyDescent="0.3">
      <c r="L61" s="29">
        <v>18</v>
      </c>
      <c r="M61" s="45">
        <f t="shared" si="2"/>
        <v>2.0345052083333333E-6</v>
      </c>
    </row>
    <row r="62" spans="5:13" x14ac:dyDescent="0.3">
      <c r="L62" s="29">
        <v>19</v>
      </c>
      <c r="M62" s="45">
        <f t="shared" si="2"/>
        <v>1.0172526041666667E-6</v>
      </c>
    </row>
    <row r="63" spans="5:13" x14ac:dyDescent="0.3">
      <c r="L63" s="29">
        <v>20</v>
      </c>
      <c r="M63" s="45">
        <f t="shared" si="2"/>
        <v>5.0862630208333333E-7</v>
      </c>
    </row>
  </sheetData>
  <mergeCells count="5">
    <mergeCell ref="H2:J2"/>
    <mergeCell ref="E5:H5"/>
    <mergeCell ref="E12:H12"/>
    <mergeCell ref="E42:H42"/>
    <mergeCell ref="E49:H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7"/>
  <sheetViews>
    <sheetView workbookViewId="0">
      <selection activeCell="L44" sqref="L44"/>
    </sheetView>
  </sheetViews>
  <sheetFormatPr defaultRowHeight="14.4" x14ac:dyDescent="0.3"/>
  <sheetData>
    <row r="2" spans="1:18" x14ac:dyDescent="0.3">
      <c r="A2" s="38" t="s">
        <v>36</v>
      </c>
      <c r="B2" s="38"/>
      <c r="H2" s="37" t="s">
        <v>24</v>
      </c>
      <c r="I2" s="37"/>
      <c r="J2" s="37"/>
    </row>
    <row r="4" spans="1:18" x14ac:dyDescent="0.3">
      <c r="M4" s="37" t="s">
        <v>32</v>
      </c>
      <c r="N4" s="37"/>
      <c r="O4" s="37"/>
      <c r="P4" s="37"/>
      <c r="Q4" s="37"/>
    </row>
    <row r="5" spans="1:18" x14ac:dyDescent="0.3">
      <c r="M5" s="7" t="s">
        <v>11</v>
      </c>
      <c r="N5" s="7" t="s">
        <v>33</v>
      </c>
    </row>
    <row r="6" spans="1:18" x14ac:dyDescent="0.3">
      <c r="M6" s="7">
        <v>0</v>
      </c>
      <c r="N6" s="7">
        <f>POWER($G$13*$G$10, M6) / FACT(M6)</f>
        <v>1</v>
      </c>
    </row>
    <row r="7" spans="1:18" x14ac:dyDescent="0.3">
      <c r="E7" s="39" t="s">
        <v>0</v>
      </c>
      <c r="F7" s="39"/>
      <c r="G7" s="39"/>
      <c r="M7" s="7">
        <v>1</v>
      </c>
      <c r="N7" s="7">
        <f t="shared" ref="N7:N9" si="0">POWER($G$13*$G$10, M7) / FACT(M7)</f>
        <v>3.3333333333333335</v>
      </c>
    </row>
    <row r="8" spans="1:18" x14ac:dyDescent="0.3">
      <c r="E8" s="8" t="s">
        <v>1</v>
      </c>
      <c r="F8" s="9" t="s">
        <v>3</v>
      </c>
      <c r="G8" s="10">
        <v>10</v>
      </c>
      <c r="H8" s="18" t="s">
        <v>27</v>
      </c>
      <c r="M8" s="7">
        <v>2</v>
      </c>
      <c r="N8" s="7">
        <f t="shared" si="0"/>
        <v>5.5555555555555562</v>
      </c>
    </row>
    <row r="9" spans="1:18" x14ac:dyDescent="0.3">
      <c r="E9" s="8" t="s">
        <v>18</v>
      </c>
      <c r="F9" s="9" t="s">
        <v>3</v>
      </c>
      <c r="G9" s="10">
        <v>3</v>
      </c>
      <c r="H9" s="18" t="s">
        <v>27</v>
      </c>
      <c r="M9" s="7">
        <v>3</v>
      </c>
      <c r="N9" s="7">
        <f t="shared" si="0"/>
        <v>6.1728395061728412</v>
      </c>
    </row>
    <row r="10" spans="1:18" x14ac:dyDescent="0.3">
      <c r="E10" s="10" t="s">
        <v>25</v>
      </c>
      <c r="F10" s="9" t="s">
        <v>3</v>
      </c>
      <c r="G10" s="10">
        <v>4</v>
      </c>
      <c r="M10" s="24" t="s">
        <v>35</v>
      </c>
      <c r="N10" s="16">
        <f>SUM(N7:N9)</f>
        <v>15.061728395061731</v>
      </c>
      <c r="O10" s="23" t="s">
        <v>34</v>
      </c>
      <c r="P10">
        <f xml:space="preserve"> (POWER(G13*G10,G10)/FACT(G10) )/(1-G13)</f>
        <v>30.86419753086421</v>
      </c>
      <c r="Q10" s="18" t="s">
        <v>3</v>
      </c>
      <c r="R10" s="25">
        <f>1/(N10+P10)</f>
        <v>2.177419354838709E-2</v>
      </c>
    </row>
    <row r="12" spans="1:18" x14ac:dyDescent="0.3">
      <c r="E12" s="37" t="s">
        <v>26</v>
      </c>
      <c r="F12" s="37"/>
      <c r="G12" s="37"/>
    </row>
    <row r="13" spans="1:18" x14ac:dyDescent="0.3">
      <c r="E13" s="19" t="s">
        <v>5</v>
      </c>
      <c r="F13" s="20" t="s">
        <v>3</v>
      </c>
      <c r="G13" s="14">
        <f>G8/(G10*G9)</f>
        <v>0.83333333333333337</v>
      </c>
    </row>
    <row r="14" spans="1:18" x14ac:dyDescent="0.3">
      <c r="E14" s="19" t="s">
        <v>28</v>
      </c>
      <c r="F14" s="20" t="s">
        <v>3</v>
      </c>
      <c r="G14" s="14">
        <f>G15+(G8/G9)</f>
        <v>6.693548387096774</v>
      </c>
    </row>
    <row r="15" spans="1:18" x14ac:dyDescent="0.3">
      <c r="E15" s="19" t="s">
        <v>20</v>
      </c>
      <c r="F15" s="20" t="s">
        <v>3</v>
      </c>
      <c r="G15" s="14">
        <f>(1/FACT(G10-1)) * POWER( G8/G9,G10) * (G8*G9*G18) / POWER(G10*G9 - G8, 2)</f>
        <v>3.3602150537634405</v>
      </c>
    </row>
    <row r="16" spans="1:18" x14ac:dyDescent="0.3">
      <c r="E16" s="19" t="s">
        <v>29</v>
      </c>
      <c r="F16" s="20" t="s">
        <v>3</v>
      </c>
      <c r="G16" s="14">
        <f>G14/G8</f>
        <v>0.66935483870967738</v>
      </c>
    </row>
    <row r="17" spans="1:19" x14ac:dyDescent="0.3">
      <c r="E17" s="19" t="s">
        <v>30</v>
      </c>
      <c r="F17" s="20" t="s">
        <v>3</v>
      </c>
      <c r="G17" s="14">
        <f>G15/G8</f>
        <v>0.33602150537634407</v>
      </c>
    </row>
    <row r="18" spans="1:19" x14ac:dyDescent="0.3">
      <c r="E18" s="22" t="s">
        <v>31</v>
      </c>
      <c r="F18" s="9" t="s">
        <v>3</v>
      </c>
      <c r="G18" s="14">
        <f>R10</f>
        <v>2.177419354838709E-2</v>
      </c>
    </row>
    <row r="19" spans="1:19" x14ac:dyDescent="0.3">
      <c r="E19" s="17"/>
      <c r="F19" s="17"/>
      <c r="G19" s="17"/>
    </row>
    <row r="24" spans="1:19" x14ac:dyDescent="0.3">
      <c r="A24" s="38" t="s">
        <v>37</v>
      </c>
      <c r="B24" s="38"/>
    </row>
    <row r="26" spans="1:19" x14ac:dyDescent="0.3">
      <c r="G26" s="39" t="s">
        <v>0</v>
      </c>
      <c r="H26" s="39"/>
      <c r="I26" s="39"/>
      <c r="N26" s="39" t="s">
        <v>41</v>
      </c>
      <c r="O26" s="39"/>
      <c r="P26" s="39"/>
    </row>
    <row r="27" spans="1:19" x14ac:dyDescent="0.3">
      <c r="G27" s="8" t="s">
        <v>1</v>
      </c>
      <c r="H27" s="9" t="s">
        <v>3</v>
      </c>
      <c r="I27" s="17">
        <v>6</v>
      </c>
      <c r="N27" s="17" t="s">
        <v>11</v>
      </c>
      <c r="O27" s="17"/>
      <c r="P27" s="17"/>
    </row>
    <row r="28" spans="1:19" x14ac:dyDescent="0.3">
      <c r="G28" s="8" t="s">
        <v>18</v>
      </c>
      <c r="H28" s="9" t="s">
        <v>3</v>
      </c>
      <c r="I28" s="17">
        <v>4</v>
      </c>
      <c r="N28" s="17">
        <v>0</v>
      </c>
      <c r="O28" s="17">
        <f>POWER($I$32*$I$29,N28) / FACT(N28)</f>
        <v>1</v>
      </c>
      <c r="P28" s="17"/>
    </row>
    <row r="29" spans="1:19" x14ac:dyDescent="0.3">
      <c r="G29" s="17" t="s">
        <v>25</v>
      </c>
      <c r="H29" s="9" t="s">
        <v>3</v>
      </c>
      <c r="I29" s="17">
        <v>3</v>
      </c>
      <c r="N29" s="17">
        <v>1</v>
      </c>
      <c r="O29" s="17">
        <f t="shared" ref="O29:O30" si="1">POWER($I$32*$I$29,N29) / FACT(N29)</f>
        <v>1.5</v>
      </c>
      <c r="P29" s="17"/>
    </row>
    <row r="30" spans="1:19" x14ac:dyDescent="0.3">
      <c r="N30" s="17">
        <v>2</v>
      </c>
      <c r="O30" s="17">
        <f t="shared" si="1"/>
        <v>1.125</v>
      </c>
      <c r="P30" s="17"/>
    </row>
    <row r="31" spans="1:19" x14ac:dyDescent="0.3">
      <c r="G31" s="40" t="s">
        <v>38</v>
      </c>
      <c r="H31" s="40"/>
      <c r="I31" s="40"/>
      <c r="N31" s="17" t="s">
        <v>40</v>
      </c>
      <c r="O31" s="17">
        <f>SUM(O28:O30)</f>
        <v>3.625</v>
      </c>
      <c r="P31" s="9" t="s">
        <v>34</v>
      </c>
      <c r="Q31" s="1">
        <f>( POWER(I32*I29,I29) / FACT(I29) ) * (1 / (1-I32))</f>
        <v>1.125</v>
      </c>
      <c r="R31" s="9" t="s">
        <v>3</v>
      </c>
      <c r="S31" s="17">
        <f>SUM(O31,Q31)</f>
        <v>4.75</v>
      </c>
    </row>
    <row r="32" spans="1:19" x14ac:dyDescent="0.3">
      <c r="G32" s="3" t="s">
        <v>5</v>
      </c>
      <c r="H32" s="20" t="s">
        <v>3</v>
      </c>
      <c r="I32" s="1">
        <f>I27/(I29*I28)</f>
        <v>0.5</v>
      </c>
    </row>
    <row r="33" spans="7:17" x14ac:dyDescent="0.3">
      <c r="G33" s="1" t="s">
        <v>10</v>
      </c>
      <c r="H33" s="20" t="s">
        <v>3</v>
      </c>
      <c r="I33" s="26">
        <f>Q34</f>
        <v>0.21052631578947367</v>
      </c>
    </row>
    <row r="34" spans="7:17" x14ac:dyDescent="0.3">
      <c r="G34" s="1" t="s">
        <v>39</v>
      </c>
      <c r="H34" s="20" t="s">
        <v>3</v>
      </c>
      <c r="I34" s="26">
        <f>I35+(I27/I28)</f>
        <v>1.736842105263158</v>
      </c>
      <c r="O34" s="1" t="s">
        <v>10</v>
      </c>
      <c r="P34" s="5" t="s">
        <v>3</v>
      </c>
      <c r="Q34" s="1">
        <f>1/S31</f>
        <v>0.21052631578947367</v>
      </c>
    </row>
    <row r="35" spans="7:17" x14ac:dyDescent="0.3">
      <c r="G35" s="1" t="s">
        <v>7</v>
      </c>
      <c r="H35" s="20" t="s">
        <v>3</v>
      </c>
      <c r="I35" s="26">
        <f>(1 / FACT(I29-1) ) * POWER(I27/I28, I29) * (I27*I28*I33) / ( POWER(I29*I28 - I27, 2))</f>
        <v>0.23684210526315785</v>
      </c>
    </row>
    <row r="36" spans="7:17" x14ac:dyDescent="0.3">
      <c r="G36" s="1" t="s">
        <v>8</v>
      </c>
      <c r="H36" s="20" t="s">
        <v>3</v>
      </c>
      <c r="I36" s="26">
        <f>I34/I27</f>
        <v>0.28947368421052633</v>
      </c>
    </row>
    <row r="37" spans="7:17" x14ac:dyDescent="0.3">
      <c r="G37" s="1" t="s">
        <v>9</v>
      </c>
      <c r="H37" s="20" t="s">
        <v>3</v>
      </c>
      <c r="I37" s="26">
        <f>I35/I27</f>
        <v>3.9473684210526307E-2</v>
      </c>
    </row>
  </sheetData>
  <mergeCells count="9">
    <mergeCell ref="A2:B2"/>
    <mergeCell ref="A24:B24"/>
    <mergeCell ref="G26:I26"/>
    <mergeCell ref="G31:I31"/>
    <mergeCell ref="N26:P26"/>
    <mergeCell ref="H2:J2"/>
    <mergeCell ref="E7:G7"/>
    <mergeCell ref="E12:G12"/>
    <mergeCell ref="M4:Q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80"/>
  <sheetViews>
    <sheetView tabSelected="1" topLeftCell="A51" zoomScaleNormal="100" workbookViewId="0">
      <selection activeCell="I62" sqref="I62"/>
    </sheetView>
  </sheetViews>
  <sheetFormatPr defaultRowHeight="14.4" x14ac:dyDescent="0.3"/>
  <cols>
    <col min="1" max="1" width="11" bestFit="1" customWidth="1"/>
  </cols>
  <sheetData>
    <row r="3" spans="1:21" x14ac:dyDescent="0.3">
      <c r="H3" s="37" t="s">
        <v>42</v>
      </c>
      <c r="I3" s="37"/>
      <c r="J3" s="37"/>
    </row>
    <row r="4" spans="1:21" x14ac:dyDescent="0.3">
      <c r="O4" s="37"/>
      <c r="P4" s="37"/>
      <c r="Q4" s="37"/>
      <c r="R4" s="37"/>
      <c r="S4" s="21"/>
      <c r="T4" s="21"/>
      <c r="U4" s="21"/>
    </row>
    <row r="5" spans="1:21" x14ac:dyDescent="0.3">
      <c r="A5" s="46" t="s">
        <v>36</v>
      </c>
      <c r="O5" s="21"/>
      <c r="P5" s="37"/>
      <c r="Q5" s="37"/>
      <c r="R5" s="21"/>
      <c r="S5" s="21"/>
      <c r="T5" s="21"/>
      <c r="U5" s="21"/>
    </row>
    <row r="6" spans="1:21" x14ac:dyDescent="0.3">
      <c r="O6" s="21"/>
      <c r="P6" s="37"/>
      <c r="Q6" s="37"/>
      <c r="R6" s="21"/>
      <c r="S6" s="21"/>
      <c r="T6" s="21"/>
      <c r="U6" s="21"/>
    </row>
    <row r="7" spans="1:21" x14ac:dyDescent="0.3">
      <c r="E7" s="37" t="s">
        <v>0</v>
      </c>
      <c r="F7" s="37"/>
      <c r="G7" s="37"/>
      <c r="O7" s="21"/>
      <c r="P7" s="37"/>
      <c r="Q7" s="37"/>
      <c r="R7" s="21"/>
      <c r="S7" s="21"/>
      <c r="T7" s="21"/>
      <c r="U7" s="21"/>
    </row>
    <row r="8" spans="1:21" x14ac:dyDescent="0.3">
      <c r="E8" s="30" t="s">
        <v>1</v>
      </c>
      <c r="F8" s="31" t="s">
        <v>3</v>
      </c>
      <c r="G8" s="21">
        <f>1</f>
        <v>1</v>
      </c>
      <c r="O8" s="21"/>
      <c r="P8" s="37"/>
      <c r="Q8" s="37"/>
      <c r="R8" s="21"/>
      <c r="S8" s="21"/>
      <c r="T8" s="21"/>
      <c r="U8" s="21"/>
    </row>
    <row r="9" spans="1:21" x14ac:dyDescent="0.3">
      <c r="E9" s="30" t="s">
        <v>18</v>
      </c>
      <c r="F9" s="31" t="s">
        <v>3</v>
      </c>
      <c r="G9" s="33">
        <f>1/6</f>
        <v>0.16666666666666666</v>
      </c>
      <c r="O9" s="21"/>
      <c r="P9" s="41"/>
      <c r="Q9" s="41"/>
      <c r="R9" s="31"/>
      <c r="S9" s="21"/>
      <c r="T9" s="31"/>
      <c r="U9" s="21"/>
    </row>
    <row r="10" spans="1:21" x14ac:dyDescent="0.3">
      <c r="E10" s="21" t="s">
        <v>14</v>
      </c>
      <c r="F10" s="31" t="s">
        <v>3</v>
      </c>
      <c r="G10" s="21">
        <f>7</f>
        <v>7</v>
      </c>
      <c r="O10" s="21"/>
      <c r="P10" s="37"/>
      <c r="Q10" s="37"/>
      <c r="R10" s="21"/>
      <c r="S10" s="21"/>
      <c r="T10" s="21"/>
      <c r="U10" s="21"/>
    </row>
    <row r="11" spans="1:21" x14ac:dyDescent="0.3">
      <c r="E11" s="21" t="s">
        <v>43</v>
      </c>
      <c r="F11" s="31" t="s">
        <v>3</v>
      </c>
      <c r="G11" s="21">
        <f>3</f>
        <v>3</v>
      </c>
      <c r="O11" s="21"/>
      <c r="P11" s="37"/>
      <c r="Q11" s="37"/>
      <c r="R11" s="21"/>
      <c r="S11" s="21"/>
      <c r="T11" s="21"/>
      <c r="U11" s="21"/>
    </row>
    <row r="12" spans="1:21" x14ac:dyDescent="0.3">
      <c r="O12" s="21"/>
      <c r="P12" s="37"/>
      <c r="Q12" s="37"/>
      <c r="R12" s="31"/>
      <c r="S12" s="21"/>
      <c r="T12" s="21"/>
      <c r="U12" s="21"/>
    </row>
    <row r="13" spans="1:21" x14ac:dyDescent="0.3">
      <c r="E13" s="37" t="s">
        <v>38</v>
      </c>
      <c r="F13" s="37"/>
      <c r="G13" s="37"/>
      <c r="P13" s="38"/>
      <c r="Q13" s="38"/>
    </row>
    <row r="14" spans="1:21" x14ac:dyDescent="0.3">
      <c r="E14" s="30" t="s">
        <v>5</v>
      </c>
      <c r="F14" s="32" t="s">
        <v>3</v>
      </c>
      <c r="G14" s="21">
        <f>G8/(G11*G9)</f>
        <v>2</v>
      </c>
    </row>
    <row r="15" spans="1:21" x14ac:dyDescent="0.3">
      <c r="E15" s="21" t="s">
        <v>23</v>
      </c>
      <c r="F15" s="32" t="s">
        <v>3</v>
      </c>
      <c r="G15" s="21">
        <f>R27</f>
        <v>8.7642418930762491E-4</v>
      </c>
    </row>
    <row r="16" spans="1:21" x14ac:dyDescent="0.3">
      <c r="E16" s="21" t="s">
        <v>19</v>
      </c>
      <c r="F16" s="32" t="s">
        <v>3</v>
      </c>
      <c r="G16" s="21">
        <f>R42</f>
        <v>6.0631025416301494</v>
      </c>
      <c r="P16" s="39" t="s">
        <v>41</v>
      </c>
      <c r="Q16" s="39"/>
      <c r="R16" s="39"/>
      <c r="S16" s="39"/>
    </row>
    <row r="17" spans="5:19" x14ac:dyDescent="0.3">
      <c r="E17" s="21" t="s">
        <v>20</v>
      </c>
      <c r="F17" s="32" t="s">
        <v>3</v>
      </c>
      <c r="G17" s="21">
        <f>R43</f>
        <v>3.092024539877301</v>
      </c>
      <c r="P17" s="29" t="s">
        <v>11</v>
      </c>
      <c r="Q17" s="29" t="s">
        <v>46</v>
      </c>
      <c r="R17" s="40" t="s">
        <v>47</v>
      </c>
      <c r="S17" s="40"/>
    </row>
    <row r="18" spans="5:19" x14ac:dyDescent="0.3">
      <c r="E18" s="21" t="s">
        <v>44</v>
      </c>
      <c r="F18" s="32" t="s">
        <v>3</v>
      </c>
      <c r="G18" s="21">
        <f>G16/(G8*(1-Q40))</f>
        <v>12.244247787610622</v>
      </c>
      <c r="P18" s="1">
        <v>0</v>
      </c>
      <c r="Q18" s="1">
        <f>POWER($G$14*$G$11, P18) / FACT(P18)</f>
        <v>1</v>
      </c>
      <c r="R18" s="40">
        <f>SUM(Q18)</f>
        <v>1</v>
      </c>
      <c r="S18" s="40"/>
    </row>
    <row r="19" spans="5:19" x14ac:dyDescent="0.3">
      <c r="E19" s="21" t="s">
        <v>45</v>
      </c>
      <c r="F19" s="32" t="s">
        <v>3</v>
      </c>
      <c r="G19" s="21">
        <f>G18-(1/G9)</f>
        <v>6.2442477876106217</v>
      </c>
      <c r="P19" s="1">
        <v>1</v>
      </c>
      <c r="Q19" s="1">
        <f t="shared" ref="Q19:Q20" si="0">POWER($G$14*$G$11, P19) / FACT(P19)</f>
        <v>6</v>
      </c>
      <c r="R19" s="40">
        <f>SUM(Q19,R18)</f>
        <v>7</v>
      </c>
      <c r="S19" s="40"/>
    </row>
    <row r="20" spans="5:19" x14ac:dyDescent="0.3">
      <c r="P20" s="1">
        <v>2</v>
      </c>
      <c r="Q20" s="1">
        <f t="shared" si="0"/>
        <v>18</v>
      </c>
      <c r="R20" s="40">
        <f t="shared" ref="R20:R25" si="1">SUM(Q20,R19)</f>
        <v>25</v>
      </c>
      <c r="S20" s="40"/>
    </row>
    <row r="21" spans="5:19" x14ac:dyDescent="0.3">
      <c r="P21" s="1">
        <v>3</v>
      </c>
      <c r="Q21" s="1">
        <f>POWER($G$14*$G$11,P21) / ( FACT($G$11) * POWER($G$11, P21-$G$11))</f>
        <v>36</v>
      </c>
      <c r="R21" s="40">
        <f t="shared" si="1"/>
        <v>61</v>
      </c>
      <c r="S21" s="40"/>
    </row>
    <row r="22" spans="5:19" x14ac:dyDescent="0.3">
      <c r="P22" s="1">
        <v>4</v>
      </c>
      <c r="Q22" s="1">
        <f t="shared" ref="Q22:Q25" si="2">POWER($G$14*$G$11,P22) / ( FACT($G$11) * POWER($G$11, P22-$G$11))</f>
        <v>72</v>
      </c>
      <c r="R22" s="40">
        <f t="shared" si="1"/>
        <v>133</v>
      </c>
      <c r="S22" s="40"/>
    </row>
    <row r="23" spans="5:19" x14ac:dyDescent="0.3">
      <c r="P23" s="1">
        <v>5</v>
      </c>
      <c r="Q23" s="1">
        <f t="shared" si="2"/>
        <v>144</v>
      </c>
      <c r="R23" s="40">
        <f t="shared" si="1"/>
        <v>277</v>
      </c>
      <c r="S23" s="40"/>
    </row>
    <row r="24" spans="5:19" x14ac:dyDescent="0.3">
      <c r="P24" s="1">
        <v>6</v>
      </c>
      <c r="Q24" s="1">
        <f t="shared" si="2"/>
        <v>288</v>
      </c>
      <c r="R24" s="40">
        <f t="shared" si="1"/>
        <v>565</v>
      </c>
      <c r="S24" s="40"/>
    </row>
    <row r="25" spans="5:19" x14ac:dyDescent="0.3">
      <c r="P25" s="1">
        <v>7</v>
      </c>
      <c r="Q25" s="1">
        <f t="shared" si="2"/>
        <v>576</v>
      </c>
      <c r="R25" s="39">
        <f t="shared" si="1"/>
        <v>1141</v>
      </c>
      <c r="S25" s="39"/>
    </row>
    <row r="26" spans="5:19" x14ac:dyDescent="0.3">
      <c r="P26" s="1"/>
      <c r="Q26" s="1"/>
      <c r="R26" s="40"/>
      <c r="S26" s="40"/>
    </row>
    <row r="27" spans="5:19" x14ac:dyDescent="0.3">
      <c r="P27" s="1"/>
      <c r="Q27" s="1" t="s">
        <v>10</v>
      </c>
      <c r="R27" s="40">
        <f>1/R25</f>
        <v>8.7642418930762491E-4</v>
      </c>
      <c r="S27" s="40"/>
    </row>
    <row r="31" spans="5:19" x14ac:dyDescent="0.3">
      <c r="P31" s="39" t="s">
        <v>48</v>
      </c>
      <c r="Q31" s="39"/>
      <c r="R31" s="39"/>
      <c r="S31" s="39"/>
    </row>
    <row r="32" spans="5:19" x14ac:dyDescent="0.3">
      <c r="P32" s="28" t="s">
        <v>11</v>
      </c>
      <c r="Q32" s="1" t="s">
        <v>49</v>
      </c>
      <c r="R32" s="1" t="s">
        <v>50</v>
      </c>
      <c r="S32" s="1" t="s">
        <v>51</v>
      </c>
    </row>
    <row r="33" spans="16:19" x14ac:dyDescent="0.3">
      <c r="P33" s="29">
        <v>0</v>
      </c>
      <c r="Q33" s="1">
        <f>R27</f>
        <v>8.7642418930762491E-4</v>
      </c>
      <c r="R33" s="1">
        <f>P33*Q33</f>
        <v>0</v>
      </c>
      <c r="S33" s="1">
        <v>0</v>
      </c>
    </row>
    <row r="34" spans="16:19" x14ac:dyDescent="0.3">
      <c r="P34" s="29">
        <v>1</v>
      </c>
      <c r="Q34" s="1">
        <f>(POWER($G$14*$G$11, P34)) *$Q$33 / (FACT(P34))</f>
        <v>5.2585451358457495E-3</v>
      </c>
      <c r="R34" s="1">
        <f t="shared" ref="R34:R40" si="3">P34*Q34</f>
        <v>5.2585451358457495E-3</v>
      </c>
      <c r="S34" s="1">
        <v>0</v>
      </c>
    </row>
    <row r="35" spans="16:19" x14ac:dyDescent="0.3">
      <c r="P35" s="29">
        <v>2</v>
      </c>
      <c r="Q35" s="1">
        <f t="shared" ref="Q35" si="4">(POWER($G$14*$G$11, P35)) *$Q$33 / (FACT(P35))</f>
        <v>1.577563540753725E-2</v>
      </c>
      <c r="R35" s="1">
        <f t="shared" si="3"/>
        <v>3.15512708150745E-2</v>
      </c>
      <c r="S35" s="1">
        <v>0</v>
      </c>
    </row>
    <row r="36" spans="16:19" x14ac:dyDescent="0.3">
      <c r="P36" s="29">
        <v>3</v>
      </c>
      <c r="Q36" s="1">
        <f>(POWER($G$14*$G$11, P36)) *$Q$33 / (FACT($G$11) * POWER($G$11, P36-$G$11))</f>
        <v>3.1551270815074493E-2</v>
      </c>
      <c r="R36" s="1">
        <f t="shared" si="3"/>
        <v>9.4653812445223473E-2</v>
      </c>
      <c r="S36" s="1">
        <f>(P36-$G$11)*Q36</f>
        <v>0</v>
      </c>
    </row>
    <row r="37" spans="16:19" x14ac:dyDescent="0.3">
      <c r="P37" s="29">
        <v>4</v>
      </c>
      <c r="Q37" s="1">
        <f t="shared" ref="Q37:Q40" si="5">(POWER($G$14*$G$11, P37)) *$Q$33 / (FACT($G$11) * POWER($G$11, P37-$G$11))</f>
        <v>6.3102541630149001E-2</v>
      </c>
      <c r="R37" s="1">
        <f t="shared" si="3"/>
        <v>0.252410166520596</v>
      </c>
      <c r="S37" s="1">
        <f t="shared" ref="S37:S40" si="6">(P37-$G$11)*Q37</f>
        <v>6.3102541630149001E-2</v>
      </c>
    </row>
    <row r="38" spans="16:19" x14ac:dyDescent="0.3">
      <c r="P38" s="29">
        <v>5</v>
      </c>
      <c r="Q38" s="1">
        <f t="shared" si="5"/>
        <v>0.126205083260298</v>
      </c>
      <c r="R38" s="1">
        <f t="shared" si="3"/>
        <v>0.63102541630149001</v>
      </c>
      <c r="S38" s="1">
        <f t="shared" si="6"/>
        <v>0.252410166520596</v>
      </c>
    </row>
    <row r="39" spans="16:19" x14ac:dyDescent="0.3">
      <c r="P39" s="29">
        <v>6</v>
      </c>
      <c r="Q39" s="1">
        <f t="shared" si="5"/>
        <v>0.252410166520596</v>
      </c>
      <c r="R39" s="1">
        <f t="shared" si="3"/>
        <v>1.514460999123576</v>
      </c>
      <c r="S39" s="1">
        <f t="shared" si="6"/>
        <v>0.75723049956178801</v>
      </c>
    </row>
    <row r="40" spans="16:19" x14ac:dyDescent="0.3">
      <c r="P40" s="29">
        <v>7</v>
      </c>
      <c r="Q40" s="1">
        <f t="shared" si="5"/>
        <v>0.504820333041192</v>
      </c>
      <c r="R40" s="1">
        <f t="shared" si="3"/>
        <v>3.533742331288344</v>
      </c>
      <c r="S40" s="1">
        <f t="shared" si="6"/>
        <v>2.019281332164768</v>
      </c>
    </row>
    <row r="41" spans="16:19" x14ac:dyDescent="0.3">
      <c r="P41" s="1"/>
      <c r="Q41" s="1"/>
      <c r="R41" s="1"/>
      <c r="S41" s="1"/>
    </row>
    <row r="42" spans="16:19" x14ac:dyDescent="0.3">
      <c r="P42" s="1"/>
      <c r="Q42" s="1" t="s">
        <v>39</v>
      </c>
      <c r="R42" s="1">
        <f>SUM(R33:R40)</f>
        <v>6.0631025416301494</v>
      </c>
      <c r="S42" s="1"/>
    </row>
    <row r="43" spans="16:19" x14ac:dyDescent="0.3">
      <c r="P43" s="1"/>
      <c r="Q43" s="1" t="s">
        <v>7</v>
      </c>
      <c r="R43" s="1">
        <f>SUM(S36:S40)</f>
        <v>3.092024539877301</v>
      </c>
      <c r="S43" s="1"/>
    </row>
    <row r="53" spans="1:18" x14ac:dyDescent="0.3">
      <c r="A53" s="46" t="s">
        <v>37</v>
      </c>
      <c r="F53" s="39" t="s">
        <v>0</v>
      </c>
      <c r="G53" s="39"/>
      <c r="H53" s="39"/>
      <c r="O53" s="39" t="s">
        <v>41</v>
      </c>
      <c r="P53" s="39"/>
      <c r="Q53" s="39"/>
      <c r="R53" s="39"/>
    </row>
    <row r="54" spans="1:18" x14ac:dyDescent="0.3">
      <c r="F54" s="8" t="s">
        <v>1</v>
      </c>
      <c r="G54" s="9" t="s">
        <v>3</v>
      </c>
      <c r="H54" s="28">
        <v>2</v>
      </c>
      <c r="I54" s="18" t="s">
        <v>27</v>
      </c>
      <c r="O54" s="29" t="s">
        <v>11</v>
      </c>
      <c r="P54" s="51"/>
      <c r="Q54" s="52"/>
      <c r="R54" s="53"/>
    </row>
    <row r="55" spans="1:18" x14ac:dyDescent="0.3">
      <c r="F55" s="8" t="s">
        <v>18</v>
      </c>
      <c r="G55" s="9" t="s">
        <v>3</v>
      </c>
      <c r="H55" s="59">
        <v>12</v>
      </c>
      <c r="I55" s="18" t="s">
        <v>27</v>
      </c>
      <c r="O55" s="1">
        <v>0</v>
      </c>
      <c r="P55" s="51">
        <f>POWER($H$60*$H$57, O55) / FACT(O55)</f>
        <v>1</v>
      </c>
      <c r="Q55" s="52"/>
      <c r="R55" s="53"/>
    </row>
    <row r="56" spans="1:18" x14ac:dyDescent="0.3">
      <c r="F56" s="28" t="s">
        <v>14</v>
      </c>
      <c r="G56" s="9" t="s">
        <v>3</v>
      </c>
      <c r="H56" s="28">
        <v>5</v>
      </c>
      <c r="O56" s="1">
        <v>1</v>
      </c>
      <c r="P56" s="54">
        <f>POWER($H$60*$H$57, O56) / FACT(O56)</f>
        <v>0.33333333333333331</v>
      </c>
      <c r="Q56" s="55"/>
      <c r="R56" s="56"/>
    </row>
    <row r="57" spans="1:18" x14ac:dyDescent="0.3">
      <c r="F57" s="28" t="s">
        <v>43</v>
      </c>
      <c r="G57" s="9" t="s">
        <v>3</v>
      </c>
      <c r="H57" s="28">
        <v>2</v>
      </c>
      <c r="O57" s="1">
        <v>2</v>
      </c>
      <c r="P57" s="54">
        <f>( POWER($H$60*$H$57,O57)) / (FACT($H$57) * POWER($H$57, O57-$H$57))</f>
        <v>5.5555555555555552E-2</v>
      </c>
      <c r="Q57" s="55"/>
      <c r="R57" s="56"/>
    </row>
    <row r="58" spans="1:18" x14ac:dyDescent="0.3">
      <c r="O58" s="1">
        <v>3</v>
      </c>
      <c r="P58" s="54">
        <f t="shared" ref="P58:P60" si="7">( POWER($H$60*$H$57,O58)) / (FACT($H$57) * POWER($H$57, O58-$H$57))</f>
        <v>9.2592592592592587E-3</v>
      </c>
      <c r="Q58" s="55"/>
      <c r="R58" s="56"/>
    </row>
    <row r="59" spans="1:18" x14ac:dyDescent="0.3">
      <c r="F59" s="39" t="s">
        <v>38</v>
      </c>
      <c r="G59" s="39"/>
      <c r="H59" s="39"/>
      <c r="O59" s="1">
        <v>4</v>
      </c>
      <c r="P59" s="54">
        <f t="shared" si="7"/>
        <v>1.5432098765432098E-3</v>
      </c>
      <c r="Q59" s="55"/>
      <c r="R59" s="56"/>
    </row>
    <row r="60" spans="1:18" x14ac:dyDescent="0.3">
      <c r="F60" s="8" t="s">
        <v>5</v>
      </c>
      <c r="G60" s="20" t="s">
        <v>3</v>
      </c>
      <c r="H60" s="14">
        <f>H54/H55</f>
        <v>0.16666666666666666</v>
      </c>
      <c r="O60" s="1">
        <v>5</v>
      </c>
      <c r="P60" s="54">
        <f t="shared" si="7"/>
        <v>2.5720164609053495E-4</v>
      </c>
      <c r="Q60" s="55"/>
      <c r="R60" s="56"/>
    </row>
    <row r="61" spans="1:18" x14ac:dyDescent="0.3">
      <c r="F61" s="28" t="s">
        <v>23</v>
      </c>
      <c r="G61" s="20" t="s">
        <v>3</v>
      </c>
      <c r="H61" s="28">
        <f>Q64</f>
        <v>0.7143119603160023</v>
      </c>
      <c r="O61" s="48"/>
      <c r="P61" s="48" t="s">
        <v>54</v>
      </c>
      <c r="Q61" s="49">
        <f>SUM(P55:R60)</f>
        <v>1.3999485596707817</v>
      </c>
      <c r="R61" s="49"/>
    </row>
    <row r="62" spans="1:18" x14ac:dyDescent="0.3">
      <c r="F62" s="28" t="s">
        <v>19</v>
      </c>
      <c r="G62" s="20" t="s">
        <v>3</v>
      </c>
      <c r="H62" s="28">
        <f>Q79</f>
        <v>0.34264192540878197</v>
      </c>
      <c r="O62" s="48"/>
      <c r="P62" s="48"/>
      <c r="Q62" s="50"/>
      <c r="R62" s="50"/>
    </row>
    <row r="63" spans="1:18" x14ac:dyDescent="0.3">
      <c r="F63" s="28" t="s">
        <v>20</v>
      </c>
      <c r="G63" s="20" t="s">
        <v>3</v>
      </c>
      <c r="H63" s="28">
        <f>Q80</f>
        <v>2.513932267744504E-2</v>
      </c>
      <c r="O63" s="48"/>
      <c r="P63" s="48"/>
      <c r="Q63" s="49"/>
      <c r="R63" s="49"/>
    </row>
    <row r="64" spans="1:18" x14ac:dyDescent="0.3">
      <c r="F64" s="28" t="s">
        <v>44</v>
      </c>
      <c r="G64" s="20" t="s">
        <v>3</v>
      </c>
      <c r="H64" s="28">
        <f>H62/(H54*(1-P75))</f>
        <v>0.17135244395442856</v>
      </c>
      <c r="O64" s="1"/>
      <c r="P64" s="1" t="s">
        <v>10</v>
      </c>
      <c r="Q64" s="40">
        <f>1/Q61</f>
        <v>0.7143119603160023</v>
      </c>
      <c r="R64" s="40"/>
    </row>
    <row r="65" spans="6:18" x14ac:dyDescent="0.3">
      <c r="F65" s="28" t="s">
        <v>45</v>
      </c>
      <c r="G65" s="20" t="s">
        <v>3</v>
      </c>
      <c r="H65" s="28">
        <f>H64-(1/H55)</f>
        <v>8.8019110621095228E-2</v>
      </c>
    </row>
    <row r="68" spans="6:18" x14ac:dyDescent="0.3">
      <c r="O68" s="39" t="s">
        <v>48</v>
      </c>
      <c r="P68" s="39"/>
      <c r="Q68" s="39"/>
      <c r="R68" s="39"/>
    </row>
    <row r="69" spans="6:18" x14ac:dyDescent="0.3">
      <c r="O69" s="28" t="s">
        <v>11</v>
      </c>
      <c r="P69" s="1" t="s">
        <v>49</v>
      </c>
      <c r="Q69" s="1" t="s">
        <v>50</v>
      </c>
      <c r="R69" s="1" t="s">
        <v>51</v>
      </c>
    </row>
    <row r="70" spans="6:18" x14ac:dyDescent="0.3">
      <c r="O70" s="29">
        <v>0</v>
      </c>
      <c r="P70" s="1">
        <f>Q64</f>
        <v>0.7143119603160023</v>
      </c>
      <c r="Q70" s="1">
        <f>O70*P70</f>
        <v>0</v>
      </c>
      <c r="R70" s="1">
        <f>0</f>
        <v>0</v>
      </c>
    </row>
    <row r="71" spans="6:18" x14ac:dyDescent="0.3">
      <c r="O71" s="29">
        <v>1</v>
      </c>
      <c r="P71" s="1">
        <f>(POWER($H$60*$H$57, O71)) *$P$70 / (FACT(O71))</f>
        <v>0.23810398677200076</v>
      </c>
      <c r="Q71" s="1">
        <f t="shared" ref="Q71:Q75" si="8">O71*P71</f>
        <v>0.23810398677200076</v>
      </c>
      <c r="R71" s="1">
        <f>0</f>
        <v>0</v>
      </c>
    </row>
    <row r="72" spans="6:18" x14ac:dyDescent="0.3">
      <c r="O72" s="29">
        <v>2</v>
      </c>
      <c r="P72" s="1">
        <f>(POWER($H$60*$H$57, O72)) *$P$70 / (FACT($H$57) * POWER($H$57, O72-$H$57))</f>
        <v>3.9683997795333457E-2</v>
      </c>
      <c r="Q72" s="1">
        <f t="shared" si="8"/>
        <v>7.9367995590666915E-2</v>
      </c>
      <c r="R72" s="1">
        <f>(O72-H57)*P72</f>
        <v>0</v>
      </c>
    </row>
    <row r="73" spans="6:18" x14ac:dyDescent="0.3">
      <c r="O73" s="29">
        <v>3</v>
      </c>
      <c r="P73" s="1">
        <f t="shared" ref="P73:P75" si="9">(POWER($H$60*$H$57, O73)) *$P$70 / (FACT($H$57) * POWER($H$57, O73-$H$57))</f>
        <v>6.6139996325555762E-3</v>
      </c>
      <c r="Q73" s="1">
        <f t="shared" si="8"/>
        <v>1.9841998897666729E-2</v>
      </c>
      <c r="R73" s="1">
        <f t="shared" ref="R73:R75" si="10">(O73-H58)*P73</f>
        <v>1.9841998897666729E-2</v>
      </c>
    </row>
    <row r="74" spans="6:18" x14ac:dyDescent="0.3">
      <c r="O74" s="29">
        <v>4</v>
      </c>
      <c r="P74" s="1">
        <f t="shared" si="9"/>
        <v>1.1023332720925961E-3</v>
      </c>
      <c r="Q74" s="1">
        <f t="shared" si="8"/>
        <v>4.4093330883703844E-3</v>
      </c>
      <c r="R74" s="1">
        <f t="shared" si="10"/>
        <v>4.4093330883703844E-3</v>
      </c>
    </row>
    <row r="75" spans="6:18" x14ac:dyDescent="0.3">
      <c r="O75" s="29">
        <v>5</v>
      </c>
      <c r="P75" s="1">
        <f t="shared" si="9"/>
        <v>1.8372221201543268E-4</v>
      </c>
      <c r="Q75" s="1">
        <f t="shared" si="8"/>
        <v>9.1861106007716335E-4</v>
      </c>
      <c r="R75" s="1">
        <f t="shared" si="10"/>
        <v>8.8799069140792458E-4</v>
      </c>
    </row>
    <row r="76" spans="6:18" x14ac:dyDescent="0.3">
      <c r="O76" s="57"/>
      <c r="P76" s="48"/>
      <c r="Q76" s="48"/>
      <c r="R76" s="48"/>
    </row>
    <row r="77" spans="6:18" x14ac:dyDescent="0.3">
      <c r="O77" s="57"/>
      <c r="P77" s="48"/>
      <c r="Q77" s="48"/>
      <c r="R77" s="48"/>
    </row>
    <row r="78" spans="6:18" x14ac:dyDescent="0.3">
      <c r="O78" s="58"/>
      <c r="P78" s="58"/>
      <c r="Q78" s="58"/>
      <c r="R78" s="58"/>
    </row>
    <row r="79" spans="6:18" x14ac:dyDescent="0.3">
      <c r="O79" s="47"/>
      <c r="P79" s="47" t="s">
        <v>39</v>
      </c>
      <c r="Q79" s="47">
        <f>SUM(Q70:Q75)</f>
        <v>0.34264192540878197</v>
      </c>
      <c r="R79" s="47"/>
    </row>
    <row r="80" spans="6:18" x14ac:dyDescent="0.3">
      <c r="O80" s="1"/>
      <c r="P80" s="1" t="s">
        <v>7</v>
      </c>
      <c r="Q80" s="1">
        <f>SUM(R70:R75)</f>
        <v>2.513932267744504E-2</v>
      </c>
      <c r="R80" s="1"/>
    </row>
  </sheetData>
  <mergeCells count="41">
    <mergeCell ref="O68:R68"/>
    <mergeCell ref="P54:R54"/>
    <mergeCell ref="P55:R55"/>
    <mergeCell ref="P56:R56"/>
    <mergeCell ref="P57:R57"/>
    <mergeCell ref="P58:R58"/>
    <mergeCell ref="P59:R59"/>
    <mergeCell ref="P60:R60"/>
    <mergeCell ref="Q61:R61"/>
    <mergeCell ref="Q62:R62"/>
    <mergeCell ref="Q63:R63"/>
    <mergeCell ref="Q64:R64"/>
    <mergeCell ref="F53:H53"/>
    <mergeCell ref="F59:H59"/>
    <mergeCell ref="O53:R53"/>
    <mergeCell ref="H3:J3"/>
    <mergeCell ref="E7:G7"/>
    <mergeCell ref="E13:G13"/>
    <mergeCell ref="O4:R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6:S16"/>
    <mergeCell ref="R17:S17"/>
    <mergeCell ref="R18:S18"/>
    <mergeCell ref="R19:S19"/>
    <mergeCell ref="R20:S20"/>
    <mergeCell ref="R26:S26"/>
    <mergeCell ref="R27:S27"/>
    <mergeCell ref="P31:S31"/>
    <mergeCell ref="R21:S21"/>
    <mergeCell ref="R22:S22"/>
    <mergeCell ref="R23:S23"/>
    <mergeCell ref="R24:S24"/>
    <mergeCell ref="R25:S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MM1</vt:lpstr>
      <vt:lpstr>MM1K</vt:lpstr>
      <vt:lpstr>MMC</vt:lpstr>
      <vt:lpstr>MMCK</vt:lpstr>
      <vt:lpstr>Birth &amp; Death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2023-12-09T17:30:36Z</cp:lastPrinted>
  <dcterms:created xsi:type="dcterms:W3CDTF">2023-12-09T15:06:37Z</dcterms:created>
  <dcterms:modified xsi:type="dcterms:W3CDTF">2023-12-10T13:29:49Z</dcterms:modified>
</cp:coreProperties>
</file>