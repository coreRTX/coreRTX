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dc6a3ed849c65/Desktop/"/>
    </mc:Choice>
  </mc:AlternateContent>
  <xr:revisionPtr revIDLastSave="830" documentId="8_{4BC54DB8-18A3-43D7-8D72-A3188DFD07D1}" xr6:coauthVersionLast="47" xr6:coauthVersionMax="47" xr10:uidLastSave="{8DA3CA35-A4F8-4885-8B48-57D32D080388}"/>
  <bookViews>
    <workbookView xWindow="-108" yWindow="-108" windowWidth="23256" windowHeight="12456" activeTab="7" xr2:uid="{9E00DDA5-AB7E-43A0-8A3B-1956761402DE}"/>
  </bookViews>
  <sheets>
    <sheet name="MM1 INFINITY" sheetId="1" r:id="rId1"/>
    <sheet name="MM1K INFINITY" sheetId="2" r:id="rId2"/>
    <sheet name="MMC INFINITY" sheetId="5" r:id="rId3"/>
    <sheet name="MMCK" sheetId="6" r:id="rId4"/>
    <sheet name="B&amp;D" sheetId="7" r:id="rId5"/>
    <sheet name="SIMULATION" sheetId="8" r:id="rId6"/>
    <sheet name="DISTRIBUTION PROBLEM" sheetId="10" r:id="rId7"/>
    <sheet name="RELIBILATY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9" l="1"/>
  <c r="H19" i="9"/>
  <c r="H16" i="10"/>
  <c r="H15" i="10"/>
  <c r="H14" i="10"/>
  <c r="H13" i="10"/>
  <c r="N9" i="10"/>
  <c r="F13" i="10"/>
  <c r="L27" i="8"/>
  <c r="O5" i="5"/>
  <c r="O4" i="5"/>
  <c r="H13" i="7"/>
  <c r="H17" i="10" l="1"/>
  <c r="H18" i="10" s="1"/>
  <c r="H19" i="10" s="1"/>
  <c r="H20" i="10" s="1"/>
  <c r="F14" i="10"/>
  <c r="F15" i="10"/>
  <c r="F16" i="10"/>
  <c r="F17" i="10"/>
  <c r="F18" i="10"/>
  <c r="F19" i="10"/>
  <c r="F20" i="10"/>
  <c r="H6" i="10"/>
  <c r="H7" i="10"/>
  <c r="H8" i="10"/>
  <c r="H9" i="10"/>
  <c r="H10" i="10"/>
  <c r="H5" i="10"/>
  <c r="H4" i="10"/>
  <c r="K4" i="10"/>
  <c r="F5" i="10"/>
  <c r="F6" i="10"/>
  <c r="F7" i="10"/>
  <c r="F8" i="10"/>
  <c r="F9" i="10"/>
  <c r="F10" i="10"/>
  <c r="F4" i="10"/>
  <c r="G15" i="9"/>
  <c r="G14" i="9"/>
  <c r="G13" i="9"/>
  <c r="G12" i="8"/>
  <c r="O9" i="8"/>
  <c r="O10" i="8"/>
  <c r="O11" i="8"/>
  <c r="O8" i="8"/>
  <c r="O7" i="8"/>
  <c r="H30" i="5"/>
  <c r="G30" i="5"/>
  <c r="H29" i="5"/>
  <c r="G29" i="5"/>
  <c r="N5" i="5"/>
  <c r="K5" i="5"/>
  <c r="M5" i="5" s="1"/>
  <c r="J5" i="5"/>
  <c r="L5" i="5" s="1"/>
  <c r="N4" i="5"/>
  <c r="K4" i="5"/>
  <c r="J4" i="5"/>
  <c r="L4" i="5" s="1"/>
  <c r="H8" i="5" l="1"/>
  <c r="M4" i="5"/>
  <c r="E24" i="2"/>
  <c r="I23" i="2"/>
  <c r="E22" i="2"/>
  <c r="H10" i="2"/>
  <c r="K8" i="2"/>
  <c r="H11" i="2" s="1"/>
  <c r="K7" i="2"/>
  <c r="K9" i="2" s="1"/>
  <c r="G22" i="1"/>
  <c r="I20" i="1"/>
  <c r="K18" i="1"/>
  <c r="I16" i="1"/>
  <c r="J14" i="1"/>
  <c r="I12" i="1"/>
  <c r="H10" i="1"/>
  <c r="F7" i="1"/>
  <c r="H11" i="5" l="1"/>
  <c r="J21" i="5"/>
  <c r="G15" i="2"/>
  <c r="K11" i="2"/>
  <c r="H12" i="2" s="1"/>
  <c r="J19" i="5" l="1"/>
  <c r="J13" i="5"/>
  <c r="J16" i="5" s="1"/>
</calcChain>
</file>

<file path=xl/sharedStrings.xml><?xml version="1.0" encoding="utf-8"?>
<sst xmlns="http://schemas.openxmlformats.org/spreadsheetml/2006/main" count="218" uniqueCount="164">
  <si>
    <t>λ</t>
  </si>
  <si>
    <t>μ</t>
  </si>
  <si>
    <t>Q.1</t>
  </si>
  <si>
    <t>ρ</t>
  </si>
  <si>
    <t>λ/μ</t>
  </si>
  <si>
    <t>=</t>
  </si>
  <si>
    <t>Ls</t>
  </si>
  <si>
    <t>λ/(μ-λ)</t>
  </si>
  <si>
    <t>Expected average no. of units in the system</t>
  </si>
  <si>
    <t>Expected average queue length</t>
  </si>
  <si>
    <t>Lq</t>
  </si>
  <si>
    <t>λ^2/μ*(μ-λ)</t>
  </si>
  <si>
    <t>expected waiting time in the queue</t>
  </si>
  <si>
    <t>Wq</t>
  </si>
  <si>
    <t>λ/μ*(μ-λ)</t>
  </si>
  <si>
    <t>expected waithin line in sysytem</t>
  </si>
  <si>
    <t>Ws</t>
  </si>
  <si>
    <t>λ/μ*(μ-λ)+1/μ</t>
  </si>
  <si>
    <t>expected waiting line time of a customers who has to wait</t>
  </si>
  <si>
    <t>(w/w&gt;0)</t>
  </si>
  <si>
    <t>1/μ*(1-ρ)</t>
  </si>
  <si>
    <t>expected length of non empty queue</t>
  </si>
  <si>
    <t>(L/L&gt;0)</t>
  </si>
  <si>
    <t>1/(1-ρ)</t>
  </si>
  <si>
    <t>prob. (Pn+1)</t>
  </si>
  <si>
    <t>(λ/μ)^(n+1)*(1-ρ)</t>
  </si>
  <si>
    <t>(find 80 cust. In system)</t>
  </si>
  <si>
    <t>M/M/1/INFINITY</t>
  </si>
  <si>
    <t>M/M/1/K/INFINITY</t>
  </si>
  <si>
    <t>Q.</t>
  </si>
  <si>
    <t>ρ^(k+1)</t>
  </si>
  <si>
    <t>ρ/(1-ρ)</t>
  </si>
  <si>
    <t>(k+1)*ρ^(k+1)/(1-ρ^k+1)</t>
  </si>
  <si>
    <t>IF ρ=1,k/2                             if ρ =! 1, [ρ/(1-ρ)]-[(k+1)*ρ^(k+1)/1-ρ^(k+1)</t>
  </si>
  <si>
    <t>P0=(1-ρ)/1-ρ^(k+1)</t>
  </si>
  <si>
    <t>Ls-(1-P0)</t>
  </si>
  <si>
    <t>Pn+1</t>
  </si>
  <si>
    <t>ρ^n*(1-ρ)/(1-ρ^(k+1))</t>
  </si>
  <si>
    <t>P50</t>
  </si>
  <si>
    <t>Q.2</t>
  </si>
  <si>
    <t>N=3</t>
  </si>
  <si>
    <t>[ρ/(1-ρ)]-[(k+1)*ρ^(k+1)/1-ρ^(k+1)</t>
  </si>
  <si>
    <t>prob og no customer in the system Po=</t>
  </si>
  <si>
    <t>1-ρ/(1-ρ)^k+1</t>
  </si>
  <si>
    <t>if λ=! U</t>
  </si>
  <si>
    <t>1/k+1</t>
  </si>
  <si>
    <t>if λ= U</t>
  </si>
  <si>
    <t xml:space="preserve">prob n cust. In the sysytem </t>
  </si>
  <si>
    <t>ρ^n(1-ρ)/(1-ρ)^k+1</t>
  </si>
  <si>
    <t>effective arrival rate</t>
  </si>
  <si>
    <t>C</t>
  </si>
  <si>
    <t>μ*(1-Po)</t>
  </si>
  <si>
    <t>Ls/λ</t>
  </si>
  <si>
    <t>Lq/λ</t>
  </si>
  <si>
    <t>M/M/C/INFINITY/FCFS</t>
  </si>
  <si>
    <t>Given</t>
  </si>
  <si>
    <t>c</t>
  </si>
  <si>
    <t>P0</t>
  </si>
  <si>
    <t>n</t>
  </si>
  <si>
    <t>n!</t>
  </si>
  <si>
    <t>c!</t>
  </si>
  <si>
    <t>((λ/μ)^n)/n!</t>
  </si>
  <si>
    <t>((λ/μ)^c)/c!</t>
  </si>
  <si>
    <t>cμ/(cμ-λ)</t>
  </si>
  <si>
    <t>p0'</t>
  </si>
  <si>
    <t xml:space="preserve"> 1/6</t>
  </si>
  <si>
    <t xml:space="preserve"> 1/4</t>
  </si>
  <si>
    <t>λ/cμ=1/3</t>
  </si>
  <si>
    <t>i)</t>
  </si>
  <si>
    <t>ii)</t>
  </si>
  <si>
    <t>iii)</t>
  </si>
  <si>
    <t>iv)</t>
  </si>
  <si>
    <t>Wq+1/μ</t>
  </si>
  <si>
    <t>Lq+λ/μ</t>
  </si>
  <si>
    <t>P[n&gt;= c]</t>
  </si>
  <si>
    <t>(1/c!)*()^c*(cμ/(cμ-λ))*P0</t>
  </si>
  <si>
    <t>Expected Percentage Of Idle Time for each Sales Girl?</t>
  </si>
  <si>
    <t>Fraction of the time the servers are busy=ρ=1/3</t>
  </si>
  <si>
    <t>Therefore,Idle Time =1-1/3=2/3= 67%</t>
  </si>
  <si>
    <t>Ps*ρ/(1-ρ)^2</t>
  </si>
  <si>
    <t>Ps</t>
  </si>
  <si>
    <t>(λ/μ)^s*Po/S!</t>
  </si>
  <si>
    <t>MMCK</t>
  </si>
  <si>
    <t>SIMULATION</t>
  </si>
  <si>
    <t>CATEGORY OF SERVICE</t>
  </si>
  <si>
    <t>TIME REQUESTED IN MIN.</t>
  </si>
  <si>
    <t>PROBABILITY OG CATEGORY</t>
  </si>
  <si>
    <t>F</t>
  </si>
  <si>
    <t>E</t>
  </si>
  <si>
    <t>X</t>
  </si>
  <si>
    <t>CUMULATIVE PROBABILITY</t>
  </si>
  <si>
    <t>RANDOM INTERVAL</t>
  </si>
  <si>
    <t>TOTAL =</t>
  </si>
  <si>
    <t>00-39</t>
  </si>
  <si>
    <t>40-54</t>
  </si>
  <si>
    <t>55-69</t>
  </si>
  <si>
    <t>70-79</t>
  </si>
  <si>
    <t>80-99</t>
  </si>
  <si>
    <t>ARRIVAL TIME</t>
  </si>
  <si>
    <t>RAMDOM NO.</t>
  </si>
  <si>
    <t>SERVICE TIME</t>
  </si>
  <si>
    <t>SERVICE BEGIN</t>
  </si>
  <si>
    <t>SERVICE ENDS</t>
  </si>
  <si>
    <t xml:space="preserve">WATING TIME </t>
  </si>
  <si>
    <t>IDEALOM TIME OF DR.</t>
  </si>
  <si>
    <t>RELIBILATY</t>
  </si>
  <si>
    <t>B&amp;D</t>
  </si>
  <si>
    <t>MTBF</t>
  </si>
  <si>
    <r>
      <t>1/(15λ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+20λ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+10λ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</si>
  <si>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R(t)</t>
  </si>
  <si>
    <r>
      <rPr>
        <sz val="11"/>
        <color theme="1"/>
        <rFont val="Georgia"/>
        <family val="1"/>
      </rPr>
      <t>е</t>
    </r>
    <r>
      <rPr>
        <sz val="11"/>
        <color theme="1"/>
        <rFont val="Calibri"/>
        <family val="2"/>
      </rPr>
      <t>^-(</t>
    </r>
    <r>
      <rPr>
        <sz val="11"/>
        <color theme="1"/>
        <rFont val="Georgia"/>
        <family val="1"/>
      </rPr>
      <t>λ*</t>
    </r>
    <r>
      <rPr>
        <sz val="11"/>
        <color theme="1"/>
        <rFont val="Calibri"/>
        <family val="2"/>
      </rPr>
      <t>t)</t>
    </r>
  </si>
  <si>
    <t>NUMBER OF FAILURE/TOTAL UNIT OF OPERATION HOURS</t>
  </si>
  <si>
    <t>FAILURE RATE (λ) =</t>
  </si>
  <si>
    <t>λ1</t>
  </si>
  <si>
    <t>λ3</t>
  </si>
  <si>
    <t>λ2</t>
  </si>
  <si>
    <t>VALUE</t>
  </si>
  <si>
    <t>RESISTORS</t>
  </si>
  <si>
    <t>CAPACITOR</t>
  </si>
  <si>
    <t>MEAN FILURE TIME(hrs)</t>
  </si>
  <si>
    <t>V</t>
  </si>
  <si>
    <t>R</t>
  </si>
  <si>
    <t>1/λ</t>
  </si>
  <si>
    <t>1/10000</t>
  </si>
  <si>
    <t>1/20000</t>
  </si>
  <si>
    <t>1/(V*λ1+R*λ2+C*λ3) =</t>
  </si>
  <si>
    <t>е^-(λ*t) =</t>
  </si>
  <si>
    <t>rebli.= 100hrs</t>
  </si>
  <si>
    <t>Pn</t>
  </si>
  <si>
    <t>1/N!(λ/μ)^n*Po</t>
  </si>
  <si>
    <t>Pn =</t>
  </si>
  <si>
    <t>Po =</t>
  </si>
  <si>
    <r>
      <rPr>
        <sz val="11"/>
        <color theme="1"/>
        <rFont val="Georgia"/>
        <family val="1"/>
      </rPr>
      <t>[∑</t>
    </r>
    <r>
      <rPr>
        <sz val="11"/>
        <color theme="1"/>
        <rFont val="Calibri"/>
        <family val="2"/>
      </rPr>
      <t>*1/n!(</t>
    </r>
    <r>
      <rPr>
        <sz val="11"/>
        <color theme="1"/>
        <rFont val="Calibri"/>
        <family val="1"/>
      </rPr>
      <t>(λ/μ)^n+∑1/S^(n-s)*S!((λ/μ)^n]-1</t>
    </r>
  </si>
  <si>
    <t>Lq =</t>
  </si>
  <si>
    <t>∑(n-s)*Pn</t>
  </si>
  <si>
    <t>Ls =</t>
  </si>
  <si>
    <t>Lq+S-Po*∑(s-n(s-ρ)^n/N!</t>
  </si>
  <si>
    <t>Wq =</t>
  </si>
  <si>
    <t>Ws-1/μ</t>
  </si>
  <si>
    <t>Ws =</t>
  </si>
  <si>
    <t>Ls/λ(1-Pn)</t>
  </si>
  <si>
    <t xml:space="preserve">TRAFFIC INTENCITY (ρ) = </t>
  </si>
  <si>
    <t>(λ/μS)</t>
  </si>
  <si>
    <t>P(n)</t>
  </si>
  <si>
    <t>CDF</t>
  </si>
  <si>
    <t>Po</t>
  </si>
  <si>
    <t>DISTRIBUTION PROBLEM</t>
  </si>
  <si>
    <t xml:space="preserve"> </t>
  </si>
  <si>
    <t>ships/day</t>
  </si>
  <si>
    <t>nμ</t>
  </si>
  <si>
    <t>Average unloading time with n crews</t>
  </si>
  <si>
    <t>1/2n</t>
  </si>
  <si>
    <t>days</t>
  </si>
  <si>
    <t>Average unloading time with 1 crew</t>
  </si>
  <si>
    <t>day</t>
  </si>
  <si>
    <t>Mean unloading time with one crew (μ) =</t>
  </si>
  <si>
    <t>a)</t>
  </si>
  <si>
    <r>
      <t>L</t>
    </r>
    <r>
      <rPr>
        <vertAlign val="subscript"/>
        <sz val="11"/>
        <color theme="1"/>
        <rFont val="Times New Roman"/>
        <family val="1"/>
      </rPr>
      <t>s</t>
    </r>
  </si>
  <si>
    <t>b)</t>
  </si>
  <si>
    <t>P(N&gt;4)</t>
  </si>
  <si>
    <r>
      <t>1-e</t>
    </r>
    <r>
      <rPr>
        <vertAlign val="superscript"/>
        <sz val="11"/>
        <color theme="1"/>
        <rFont val="Calibri"/>
        <family val="2"/>
        <scheme val="minor"/>
      </rPr>
      <t>-ρ</t>
    </r>
    <r>
      <rPr>
        <sz val="11"/>
        <color theme="1"/>
        <rFont val="Calibri"/>
        <family val="2"/>
        <scheme val="minor"/>
      </rPr>
      <t>(1+ρ+ρ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/2!+ρ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/3!+ρ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/4!)</t>
    </r>
  </si>
  <si>
    <t>CUM</t>
  </si>
  <si>
    <t>SERIES</t>
  </si>
  <si>
    <t>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</si>
</sst>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Georgia"/>
      <family val="1"/>
    </font>
    <font>
      <sz val="11"/>
      <color theme="1"/>
      <name val="Calibri"/>
      <family val="2"/>
    </font>
    <font>
      <b/>
      <sz val="11"/>
      <color theme="1"/>
      <name val="Georgia"/>
      <family val="1"/>
    </font>
    <font>
      <sz val="11"/>
      <color theme="1"/>
      <name val="Calibri"/>
      <family val="1"/>
    </font>
    <font>
      <vertAlign val="subscript"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1" fillId="0" borderId="1" xfId="0" applyFont="1" applyBorder="1"/>
    <xf numFmtId="0" fontId="4" fillId="0" borderId="1" xfId="0" applyFont="1" applyFill="1" applyBorder="1"/>
    <xf numFmtId="17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center"/>
    </xf>
    <xf numFmtId="0" fontId="1" fillId="0" borderId="14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2" borderId="7" xfId="0" applyFill="1" applyBorder="1"/>
    <xf numFmtId="0" fontId="0" fillId="0" borderId="0" xfId="0" applyAlignment="1">
      <alignment horizontal="left"/>
    </xf>
    <xf numFmtId="0" fontId="5" fillId="0" borderId="0" xfId="0" applyFont="1"/>
    <xf numFmtId="16" fontId="0" fillId="0" borderId="0" xfId="0" applyNumberFormat="1"/>
    <xf numFmtId="0" fontId="1" fillId="2" borderId="7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8" xfId="0" applyBorder="1" applyAlignment="1">
      <alignment horizontal="center"/>
    </xf>
    <xf numFmtId="0" fontId="0" fillId="0" borderId="18" xfId="0" applyBorder="1" applyAlignment="1"/>
    <xf numFmtId="0" fontId="0" fillId="0" borderId="2" xfId="0" applyBorder="1"/>
    <xf numFmtId="0" fontId="0" fillId="0" borderId="18" xfId="0" applyBorder="1"/>
    <xf numFmtId="0" fontId="0" fillId="0" borderId="3" xfId="0" applyBorder="1"/>
    <xf numFmtId="0" fontId="0" fillId="0" borderId="6" xfId="0" applyBorder="1"/>
    <xf numFmtId="0" fontId="0" fillId="0" borderId="19" xfId="0" applyBorder="1"/>
    <xf numFmtId="0" fontId="0" fillId="0" borderId="20" xfId="0" applyBorder="1"/>
    <xf numFmtId="18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0" xfId="0" applyBorder="1" applyAlignment="1">
      <alignment horizontal="center"/>
    </xf>
    <xf numFmtId="18" fontId="0" fillId="0" borderId="4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3" borderId="1" xfId="0" applyFill="1" applyBorder="1"/>
    <xf numFmtId="0" fontId="0" fillId="0" borderId="21" xfId="0" applyBorder="1"/>
    <xf numFmtId="0" fontId="5" fillId="0" borderId="3" xfId="0" applyFont="1" applyBorder="1"/>
    <xf numFmtId="0" fontId="0" fillId="0" borderId="21" xfId="0" applyBorder="1" applyAlignment="1"/>
    <xf numFmtId="0" fontId="0" fillId="0" borderId="23" xfId="0" applyBorder="1" applyAlignment="1"/>
    <xf numFmtId="0" fontId="0" fillId="0" borderId="23" xfId="0" applyBorder="1"/>
    <xf numFmtId="0" fontId="0" fillId="0" borderId="2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/>
    <xf numFmtId="0" fontId="0" fillId="0" borderId="3" xfId="0" applyBorder="1" applyAlignment="1">
      <alignment horizontal="center"/>
    </xf>
    <xf numFmtId="18" fontId="0" fillId="0" borderId="19" xfId="0" applyNumberFormat="1" applyBorder="1" applyAlignment="1">
      <alignment horizontal="center"/>
    </xf>
    <xf numFmtId="18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7" fillId="0" borderId="1" xfId="0" applyFont="1" applyBorder="1"/>
    <xf numFmtId="12" fontId="0" fillId="0" borderId="1" xfId="0" applyNumberFormat="1" applyBorder="1" applyAlignment="1">
      <alignment horizontal="center"/>
    </xf>
    <xf numFmtId="0" fontId="5" fillId="0" borderId="18" xfId="0" applyFont="1" applyBorder="1"/>
    <xf numFmtId="16" fontId="0" fillId="0" borderId="19" xfId="0" applyNumberFormat="1" applyBorder="1"/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2319-44E7-435B-B63F-4AB4C1888540}">
  <dimension ref="B1:O22"/>
  <sheetViews>
    <sheetView workbookViewId="0">
      <selection activeCell="N9" sqref="N9"/>
    </sheetView>
  </sheetViews>
  <sheetFormatPr defaultRowHeight="14.4" x14ac:dyDescent="0.3"/>
  <cols>
    <col min="6" max="6" width="32.5546875" customWidth="1"/>
    <col min="7" max="7" width="12" bestFit="1" customWidth="1"/>
  </cols>
  <sheetData>
    <row r="1" spans="2:15" x14ac:dyDescent="0.3">
      <c r="I1" s="25"/>
      <c r="J1" s="24" t="s">
        <v>27</v>
      </c>
      <c r="K1" s="25"/>
    </row>
    <row r="3" spans="2:15" x14ac:dyDescent="0.3">
      <c r="B3" s="7" t="s">
        <v>2</v>
      </c>
    </row>
    <row r="4" spans="2:15" x14ac:dyDescent="0.3">
      <c r="C4" s="17"/>
      <c r="D4" s="5" t="s">
        <v>0</v>
      </c>
      <c r="E4" s="6" t="s">
        <v>5</v>
      </c>
      <c r="F4" s="103">
        <v>2.0833000000000001E-2</v>
      </c>
      <c r="G4" s="17"/>
      <c r="H4" s="17"/>
      <c r="I4" s="18" t="s">
        <v>26</v>
      </c>
    </row>
    <row r="5" spans="2:15" x14ac:dyDescent="0.3">
      <c r="C5" s="17"/>
      <c r="D5" s="7" t="s">
        <v>1</v>
      </c>
      <c r="E5" s="6" t="s">
        <v>5</v>
      </c>
      <c r="F5" s="103">
        <v>3.3000000000000002E-2</v>
      </c>
      <c r="G5" s="17"/>
      <c r="H5" s="17"/>
      <c r="I5" s="17"/>
    </row>
    <row r="6" spans="2:15" x14ac:dyDescent="0.3">
      <c r="C6" s="17"/>
      <c r="D6" s="8"/>
      <c r="E6" s="8"/>
      <c r="F6" s="8"/>
      <c r="G6" s="17"/>
      <c r="H6" s="17"/>
      <c r="I6" s="17"/>
    </row>
    <row r="7" spans="2:15" x14ac:dyDescent="0.3">
      <c r="C7" s="17"/>
      <c r="D7" s="5" t="s">
        <v>3</v>
      </c>
      <c r="E7" s="7" t="s">
        <v>4</v>
      </c>
      <c r="F7" s="104">
        <f>F4/F5</f>
        <v>0.63130303030303025</v>
      </c>
      <c r="G7" s="17"/>
      <c r="H7" s="17"/>
      <c r="I7" s="17"/>
      <c r="M7" s="70"/>
      <c r="N7" s="3"/>
      <c r="O7" s="3"/>
    </row>
    <row r="8" spans="2:15" x14ac:dyDescent="0.3">
      <c r="C8" s="17"/>
      <c r="D8" s="17"/>
      <c r="E8" s="17"/>
      <c r="F8" s="17"/>
      <c r="G8" s="17"/>
      <c r="H8" s="17"/>
      <c r="I8" s="17"/>
    </row>
    <row r="9" spans="2:15" x14ac:dyDescent="0.3">
      <c r="C9" s="17"/>
      <c r="D9" s="17"/>
      <c r="E9" s="17"/>
      <c r="F9" s="17"/>
      <c r="G9" s="17"/>
      <c r="H9" s="17"/>
      <c r="I9" s="17"/>
    </row>
    <row r="10" spans="2:15" x14ac:dyDescent="0.3">
      <c r="C10" s="19" t="s">
        <v>8</v>
      </c>
      <c r="D10" s="19"/>
      <c r="E10" s="19"/>
      <c r="F10" s="19"/>
      <c r="G10" s="18" t="s">
        <v>7</v>
      </c>
      <c r="H10" s="16">
        <f>F4/(F5-F4)</f>
        <v>1.712254458781951</v>
      </c>
      <c r="I10" s="20"/>
    </row>
    <row r="11" spans="2:15" x14ac:dyDescent="0.3">
      <c r="C11" s="17"/>
      <c r="D11" s="17"/>
      <c r="E11" s="17"/>
      <c r="F11" s="17"/>
      <c r="G11" s="17"/>
      <c r="H11" s="17"/>
      <c r="I11" s="17"/>
    </row>
    <row r="12" spans="2:15" x14ac:dyDescent="0.3">
      <c r="C12" s="21" t="s">
        <v>9</v>
      </c>
      <c r="D12" s="21"/>
      <c r="E12" s="21"/>
      <c r="F12" s="18" t="s">
        <v>10</v>
      </c>
      <c r="G12" s="18" t="s">
        <v>11</v>
      </c>
      <c r="H12" s="17"/>
      <c r="I12" s="8">
        <f>F4^2/F5*(F5-F4)</f>
        <v>1.6001960568069699E-4</v>
      </c>
    </row>
    <row r="13" spans="2:15" x14ac:dyDescent="0.3">
      <c r="C13" s="17"/>
      <c r="D13" s="17"/>
      <c r="E13" s="17"/>
      <c r="F13" s="17"/>
      <c r="G13" s="17"/>
      <c r="H13" s="17"/>
      <c r="I13" s="17"/>
    </row>
    <row r="14" spans="2:15" x14ac:dyDescent="0.3">
      <c r="C14" t="s">
        <v>12</v>
      </c>
      <c r="G14" s="9" t="s">
        <v>13</v>
      </c>
      <c r="H14" t="s">
        <v>14</v>
      </c>
      <c r="J14" s="3">
        <f>F4/F5*(F5-F4)</f>
        <v>7.6810639696969695E-3</v>
      </c>
    </row>
    <row r="16" spans="2:15" x14ac:dyDescent="0.3">
      <c r="C16" t="s">
        <v>15</v>
      </c>
      <c r="F16" s="9" t="s">
        <v>16</v>
      </c>
      <c r="G16" s="9" t="s">
        <v>17</v>
      </c>
      <c r="I16" s="22">
        <f>1/(F5-F4)</f>
        <v>82.189529053998513</v>
      </c>
    </row>
    <row r="18" spans="3:11" x14ac:dyDescent="0.3">
      <c r="C18" t="s">
        <v>18</v>
      </c>
      <c r="I18" t="s">
        <v>19</v>
      </c>
      <c r="J18" s="9" t="s">
        <v>20</v>
      </c>
      <c r="K18" s="3">
        <f>1/F5*(1-F7)</f>
        <v>11.172635445362719</v>
      </c>
    </row>
    <row r="20" spans="3:11" x14ac:dyDescent="0.3">
      <c r="C20" t="s">
        <v>21</v>
      </c>
      <c r="G20" t="s">
        <v>22</v>
      </c>
      <c r="H20" s="9" t="s">
        <v>23</v>
      </c>
      <c r="I20">
        <f>1/(1-F7)</f>
        <v>2.7122544587819508</v>
      </c>
    </row>
    <row r="22" spans="3:11" x14ac:dyDescent="0.3">
      <c r="C22" t="s">
        <v>24</v>
      </c>
      <c r="E22" s="12" t="s">
        <v>25</v>
      </c>
      <c r="F22" s="12"/>
      <c r="G22">
        <f>(F4/F5)^(80)*(1-F7)</f>
        <v>3.8521171514358981E-17</v>
      </c>
    </row>
  </sheetData>
  <mergeCells count="3">
    <mergeCell ref="C12:E12"/>
    <mergeCell ref="E22:F22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DA7-7161-4E5C-B2E2-8F13E6DDEF50}">
  <dimension ref="B1:AP64"/>
  <sheetViews>
    <sheetView topLeftCell="F1" workbookViewId="0">
      <selection activeCell="J22" sqref="J22"/>
    </sheetView>
  </sheetViews>
  <sheetFormatPr defaultRowHeight="14.4" x14ac:dyDescent="0.3"/>
  <cols>
    <col min="7" max="7" width="13.88671875" customWidth="1"/>
    <col min="8" max="8" width="17.77734375" customWidth="1"/>
    <col min="10" max="10" width="27.109375" customWidth="1"/>
  </cols>
  <sheetData>
    <row r="1" spans="5:42" x14ac:dyDescent="0.3">
      <c r="J1" s="26" t="s">
        <v>28</v>
      </c>
      <c r="K1" s="26"/>
    </row>
    <row r="4" spans="5:42" ht="15" thickBot="1" x14ac:dyDescent="0.35"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</row>
    <row r="5" spans="5:42" x14ac:dyDescent="0.3">
      <c r="E5" s="32"/>
      <c r="F5" s="33"/>
      <c r="G5" s="33"/>
      <c r="H5" s="33"/>
      <c r="I5" s="33"/>
      <c r="J5" s="33"/>
      <c r="K5" s="34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</row>
    <row r="6" spans="5:42" x14ac:dyDescent="0.3">
      <c r="E6" s="35" t="s">
        <v>2</v>
      </c>
      <c r="F6" s="3"/>
      <c r="G6" s="3"/>
      <c r="H6" s="3"/>
      <c r="I6" s="3"/>
      <c r="J6" s="3"/>
      <c r="K6" s="36"/>
    </row>
    <row r="7" spans="5:42" x14ac:dyDescent="0.3">
      <c r="E7" s="35"/>
      <c r="F7" s="3"/>
      <c r="G7" s="3"/>
      <c r="H7" s="3"/>
      <c r="I7" s="3"/>
      <c r="J7" s="3" t="s">
        <v>30</v>
      </c>
      <c r="K7" s="36">
        <f>H10^51</f>
        <v>3.4390879152551541E-18</v>
      </c>
    </row>
    <row r="8" spans="5:42" x14ac:dyDescent="0.3">
      <c r="E8" s="35"/>
      <c r="F8" s="23" t="s">
        <v>0</v>
      </c>
      <c r="G8" s="3"/>
      <c r="H8" s="3">
        <v>15</v>
      </c>
      <c r="I8" s="3"/>
      <c r="J8" s="3" t="s">
        <v>31</v>
      </c>
      <c r="K8" s="36">
        <f>H10/(1-H10)</f>
        <v>0.83333333333333337</v>
      </c>
      <c r="N8" s="71" t="s">
        <v>42</v>
      </c>
      <c r="O8" s="75"/>
      <c r="P8" s="75"/>
      <c r="Q8" s="75"/>
      <c r="R8" s="88" t="s">
        <v>43</v>
      </c>
      <c r="S8" s="89"/>
      <c r="T8" t="s">
        <v>44</v>
      </c>
    </row>
    <row r="9" spans="5:42" x14ac:dyDescent="0.3">
      <c r="E9" s="35"/>
      <c r="F9" s="23" t="s">
        <v>1</v>
      </c>
      <c r="G9" s="3"/>
      <c r="H9" s="3">
        <v>33</v>
      </c>
      <c r="I9" s="3"/>
      <c r="J9" s="3" t="s">
        <v>32</v>
      </c>
      <c r="K9" s="36">
        <f>51*K7/(1-K7)</f>
        <v>1.7539348367801286E-16</v>
      </c>
      <c r="R9" t="s">
        <v>45</v>
      </c>
      <c r="T9" t="s">
        <v>46</v>
      </c>
    </row>
    <row r="10" spans="5:42" x14ac:dyDescent="0.3">
      <c r="E10" s="35"/>
      <c r="F10" s="40" t="s">
        <v>3</v>
      </c>
      <c r="G10" s="3" t="s">
        <v>4</v>
      </c>
      <c r="H10" s="3">
        <f>H8/H9</f>
        <v>0.45454545454545453</v>
      </c>
      <c r="I10" s="3"/>
      <c r="J10" s="3"/>
      <c r="K10" s="36"/>
    </row>
    <row r="11" spans="5:42" x14ac:dyDescent="0.3">
      <c r="E11" s="35"/>
      <c r="F11" s="40" t="s">
        <v>6</v>
      </c>
      <c r="G11" s="3" t="s">
        <v>33</v>
      </c>
      <c r="H11" s="3">
        <f>K8-K9</f>
        <v>0.83333333333333315</v>
      </c>
      <c r="I11" s="3"/>
      <c r="J11" s="31" t="s">
        <v>34</v>
      </c>
      <c r="K11" s="36">
        <f>(1-H10)/(1-K7)</f>
        <v>0.54545454545454541</v>
      </c>
    </row>
    <row r="12" spans="5:42" x14ac:dyDescent="0.3">
      <c r="E12" s="35"/>
      <c r="F12" s="23" t="s">
        <v>10</v>
      </c>
      <c r="G12" s="3" t="s">
        <v>35</v>
      </c>
      <c r="H12" s="3">
        <f>H11-(1-K11)</f>
        <v>0.37878787878787856</v>
      </c>
      <c r="I12" s="3"/>
      <c r="J12" s="3"/>
      <c r="K12" s="36"/>
      <c r="N12" s="71" t="s">
        <v>47</v>
      </c>
      <c r="O12" s="75"/>
      <c r="P12" s="75"/>
      <c r="Q12" s="88" t="s">
        <v>48</v>
      </c>
      <c r="R12" s="89"/>
    </row>
    <row r="13" spans="5:42" x14ac:dyDescent="0.3">
      <c r="E13" s="35"/>
      <c r="F13" s="4" t="s">
        <v>36</v>
      </c>
      <c r="G13" s="90" t="s">
        <v>37</v>
      </c>
      <c r="H13" s="89"/>
      <c r="I13" s="3"/>
      <c r="J13" s="3"/>
      <c r="K13" s="36"/>
      <c r="Q13" t="s">
        <v>45</v>
      </c>
    </row>
    <row r="14" spans="5:42" x14ac:dyDescent="0.3">
      <c r="E14" s="35"/>
      <c r="F14" s="3"/>
      <c r="G14" s="3"/>
      <c r="H14" s="3"/>
      <c r="I14" s="3"/>
      <c r="J14" s="3"/>
      <c r="K14" s="36"/>
    </row>
    <row r="15" spans="5:42" ht="15" thickBot="1" x14ac:dyDescent="0.35">
      <c r="E15" s="37"/>
      <c r="F15" s="41" t="s">
        <v>38</v>
      </c>
      <c r="G15" s="38">
        <f>H10^50*(1-H10)/(1-K7)</f>
        <v>4.1269054983061843E-18</v>
      </c>
      <c r="H15" s="38"/>
      <c r="I15" s="38"/>
      <c r="J15" s="38"/>
      <c r="K15" s="39"/>
      <c r="N15" s="71" t="s">
        <v>49</v>
      </c>
      <c r="O15" s="75"/>
      <c r="P15" s="76" t="s">
        <v>51</v>
      </c>
    </row>
    <row r="17" spans="2:26" x14ac:dyDescent="0.3">
      <c r="N17" t="s">
        <v>16</v>
      </c>
      <c r="O17" t="s">
        <v>52</v>
      </c>
      <c r="Q17" t="s">
        <v>13</v>
      </c>
      <c r="R17" t="s">
        <v>53</v>
      </c>
    </row>
    <row r="19" spans="2:26" ht="15" thickBot="1" x14ac:dyDescent="0.35">
      <c r="B19" t="s">
        <v>39</v>
      </c>
    </row>
    <row r="20" spans="2:26" ht="15" thickBot="1" x14ac:dyDescent="0.35">
      <c r="D20" s="42" t="s">
        <v>0</v>
      </c>
      <c r="E20">
        <v>6</v>
      </c>
      <c r="L20" s="44" t="s">
        <v>40</v>
      </c>
    </row>
    <row r="21" spans="2:26" x14ac:dyDescent="0.3">
      <c r="D21" s="42" t="s">
        <v>1</v>
      </c>
      <c r="E21">
        <v>12</v>
      </c>
    </row>
    <row r="22" spans="2:26" x14ac:dyDescent="0.3">
      <c r="D22" s="43" t="s">
        <v>3</v>
      </c>
      <c r="E22">
        <f>E20/E21</f>
        <v>0.5</v>
      </c>
    </row>
    <row r="23" spans="2:26" x14ac:dyDescent="0.3">
      <c r="D23" s="43" t="s">
        <v>6</v>
      </c>
      <c r="E23" s="11" t="s">
        <v>41</v>
      </c>
      <c r="F23" s="11"/>
      <c r="G23" s="11"/>
      <c r="H23" s="11"/>
      <c r="I23">
        <f>E22/(1-E22)-3*E22^3/1-E22^3</f>
        <v>0.5</v>
      </c>
    </row>
    <row r="24" spans="2:26" x14ac:dyDescent="0.3">
      <c r="D24" s="42" t="s">
        <v>10</v>
      </c>
      <c r="E24">
        <f>I23-E20/E21</f>
        <v>0</v>
      </c>
    </row>
    <row r="27" spans="2:26" x14ac:dyDescent="0.3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2:26" x14ac:dyDescent="0.3">
      <c r="F28" s="54"/>
      <c r="G28" s="55"/>
      <c r="H28" s="56"/>
    </row>
    <row r="29" spans="2:26" x14ac:dyDescent="0.3">
      <c r="F29" s="57"/>
      <c r="G29" s="49"/>
      <c r="H29" s="86"/>
      <c r="K29" s="54"/>
      <c r="L29" s="107"/>
      <c r="M29" s="55"/>
      <c r="N29" s="55"/>
      <c r="O29" s="55"/>
      <c r="P29" s="55"/>
      <c r="Q29" s="55"/>
      <c r="R29" s="55"/>
      <c r="S29" s="55"/>
      <c r="T29" s="56"/>
    </row>
    <row r="30" spans="2:26" x14ac:dyDescent="0.3">
      <c r="F30" s="57"/>
      <c r="G30" s="49"/>
      <c r="H30" s="108"/>
      <c r="K30" s="57"/>
      <c r="L30" s="49"/>
      <c r="M30" s="49"/>
      <c r="N30" s="49"/>
      <c r="O30" s="49"/>
      <c r="P30" s="49"/>
      <c r="Q30" s="49"/>
      <c r="R30" s="49"/>
      <c r="S30" s="49"/>
      <c r="T30" s="58"/>
    </row>
    <row r="31" spans="2:26" x14ac:dyDescent="0.3">
      <c r="F31" s="57"/>
      <c r="G31" s="49"/>
      <c r="H31" s="58"/>
      <c r="K31" s="1"/>
      <c r="L31" s="59"/>
      <c r="M31" s="59"/>
      <c r="N31" s="59"/>
      <c r="O31" s="59"/>
      <c r="P31" s="59"/>
      <c r="Q31" s="59"/>
      <c r="R31" s="59"/>
      <c r="S31" s="59"/>
      <c r="T31" s="2"/>
    </row>
    <row r="32" spans="2:26" x14ac:dyDescent="0.3">
      <c r="F32" s="57"/>
      <c r="G32" s="49"/>
      <c r="H32" s="58"/>
    </row>
    <row r="33" spans="6:15" x14ac:dyDescent="0.3">
      <c r="F33" s="57"/>
      <c r="G33" s="49"/>
      <c r="H33" s="58"/>
    </row>
    <row r="34" spans="6:15" x14ac:dyDescent="0.3">
      <c r="F34" s="57"/>
      <c r="G34" s="49"/>
      <c r="H34" s="58"/>
      <c r="K34" s="54"/>
      <c r="L34" s="55"/>
      <c r="M34" s="55"/>
      <c r="N34" s="55"/>
      <c r="O34" s="56"/>
    </row>
    <row r="35" spans="6:15" x14ac:dyDescent="0.3">
      <c r="F35" s="57"/>
      <c r="G35" s="49"/>
      <c r="H35" s="58"/>
      <c r="K35" s="57"/>
      <c r="L35" s="49"/>
      <c r="M35" s="49"/>
      <c r="N35" s="49"/>
      <c r="O35" s="58"/>
    </row>
    <row r="36" spans="6:15" x14ac:dyDescent="0.3">
      <c r="F36" s="57"/>
      <c r="G36" s="49"/>
      <c r="H36" s="58"/>
      <c r="K36" s="57"/>
      <c r="L36" s="49"/>
      <c r="M36" s="49"/>
      <c r="N36" s="49"/>
      <c r="O36" s="58"/>
    </row>
    <row r="37" spans="6:15" x14ac:dyDescent="0.3">
      <c r="F37" s="1"/>
      <c r="G37" s="59"/>
      <c r="H37" s="2"/>
      <c r="K37" s="57"/>
      <c r="L37" s="49"/>
      <c r="M37" s="49"/>
      <c r="N37" s="49"/>
      <c r="O37" s="58"/>
    </row>
    <row r="38" spans="6:15" x14ac:dyDescent="0.3">
      <c r="K38" s="57"/>
      <c r="L38" s="49"/>
      <c r="M38" s="49"/>
      <c r="N38" s="49"/>
      <c r="O38" s="58"/>
    </row>
    <row r="39" spans="6:15" x14ac:dyDescent="0.3">
      <c r="K39" s="57"/>
      <c r="L39" s="49"/>
      <c r="M39" s="49"/>
      <c r="N39" s="49"/>
      <c r="O39" s="58"/>
    </row>
    <row r="40" spans="6:15" x14ac:dyDescent="0.3">
      <c r="K40" s="57"/>
      <c r="L40" s="49"/>
      <c r="M40" s="49"/>
      <c r="N40" s="49"/>
      <c r="O40" s="58"/>
    </row>
    <row r="41" spans="6:15" x14ac:dyDescent="0.3">
      <c r="K41" s="57"/>
      <c r="L41" s="49"/>
      <c r="M41" s="49"/>
      <c r="N41" s="49"/>
      <c r="O41" s="58"/>
    </row>
    <row r="42" spans="6:15" x14ac:dyDescent="0.3">
      <c r="K42" s="57"/>
      <c r="L42" s="49"/>
      <c r="M42" s="49"/>
      <c r="N42" s="49"/>
      <c r="O42" s="58"/>
    </row>
    <row r="43" spans="6:15" x14ac:dyDescent="0.3">
      <c r="K43" s="57"/>
      <c r="L43" s="49"/>
      <c r="M43" s="49"/>
      <c r="N43" s="49"/>
      <c r="O43" s="58"/>
    </row>
    <row r="44" spans="6:15" x14ac:dyDescent="0.3">
      <c r="K44" s="57"/>
      <c r="L44" s="49"/>
      <c r="M44" s="49"/>
      <c r="N44" s="49"/>
      <c r="O44" s="58"/>
    </row>
    <row r="45" spans="6:15" x14ac:dyDescent="0.3">
      <c r="K45" s="57"/>
      <c r="L45" s="49"/>
      <c r="M45" s="49"/>
      <c r="N45" s="49"/>
      <c r="O45" s="58"/>
    </row>
    <row r="46" spans="6:15" x14ac:dyDescent="0.3">
      <c r="K46" s="57"/>
      <c r="L46" s="49"/>
      <c r="M46" s="49"/>
      <c r="N46" s="49"/>
      <c r="O46" s="58"/>
    </row>
    <row r="47" spans="6:15" x14ac:dyDescent="0.3">
      <c r="K47" s="1"/>
      <c r="L47" s="59"/>
      <c r="M47" s="59"/>
      <c r="N47" s="59"/>
      <c r="O47" s="2"/>
    </row>
    <row r="62" spans="8:13" x14ac:dyDescent="0.3">
      <c r="H62" s="45"/>
      <c r="I62" s="45"/>
      <c r="J62" s="45"/>
      <c r="K62" s="45"/>
      <c r="L62" s="45"/>
      <c r="M62" s="45"/>
    </row>
    <row r="63" spans="8:13" x14ac:dyDescent="0.3">
      <c r="H63" s="45"/>
      <c r="I63" s="45"/>
      <c r="J63" s="45"/>
      <c r="K63" s="45"/>
      <c r="L63" s="45"/>
      <c r="M63" s="45"/>
    </row>
    <row r="64" spans="8:13" x14ac:dyDescent="0.3">
      <c r="H64" s="45"/>
      <c r="I64" s="45"/>
      <c r="J64" s="45"/>
      <c r="K64" s="45"/>
      <c r="L64" s="45"/>
      <c r="M64" s="45"/>
    </row>
  </sheetData>
  <mergeCells count="9">
    <mergeCell ref="H62:M62"/>
    <mergeCell ref="H63:M63"/>
    <mergeCell ref="H64:M64"/>
    <mergeCell ref="J1:K1"/>
    <mergeCell ref="E4:AP4"/>
    <mergeCell ref="E23:H23"/>
    <mergeCell ref="G13:H13"/>
    <mergeCell ref="R8:S8"/>
    <mergeCell ref="Q12:R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16A2-EF54-4CA0-9372-F14EAE1589D8}">
  <dimension ref="A1:U38"/>
  <sheetViews>
    <sheetView workbookViewId="0">
      <selection activeCell="C23" sqref="C23"/>
    </sheetView>
  </sheetViews>
  <sheetFormatPr defaultRowHeight="14.4" x14ac:dyDescent="0.3"/>
  <cols>
    <col min="3" max="3" width="16.109375" customWidth="1"/>
    <col min="7" max="7" width="9.6640625" customWidth="1"/>
    <col min="8" max="8" width="34.88671875" customWidth="1"/>
    <col min="12" max="12" width="12.5546875" customWidth="1"/>
    <col min="13" max="13" width="13" customWidth="1"/>
  </cols>
  <sheetData>
    <row r="1" spans="1:21" x14ac:dyDescent="0.3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21" x14ac:dyDescent="0.3">
      <c r="A2" t="s">
        <v>29</v>
      </c>
      <c r="B2" t="s">
        <v>55</v>
      </c>
    </row>
    <row r="3" spans="1:21" x14ac:dyDescent="0.3">
      <c r="B3" t="s">
        <v>56</v>
      </c>
      <c r="C3" s="10">
        <v>2</v>
      </c>
      <c r="F3" t="s">
        <v>57</v>
      </c>
      <c r="G3" s="46" t="s">
        <v>5</v>
      </c>
      <c r="H3" t="s">
        <v>58</v>
      </c>
      <c r="I3" t="s">
        <v>56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</row>
    <row r="4" spans="1:21" x14ac:dyDescent="0.3">
      <c r="B4" t="s">
        <v>0</v>
      </c>
      <c r="C4" s="47" t="s">
        <v>65</v>
      </c>
      <c r="H4">
        <v>0</v>
      </c>
      <c r="I4">
        <v>2</v>
      </c>
      <c r="J4">
        <f>FACT(H4)</f>
        <v>1</v>
      </c>
      <c r="K4">
        <f>FACT(I4)</f>
        <v>2</v>
      </c>
      <c r="L4">
        <f>G29/J4</f>
        <v>1</v>
      </c>
      <c r="M4">
        <f>H29/K4</f>
        <v>0.22204447999999999</v>
      </c>
      <c r="N4">
        <f>I4*F30/(I4*F30-F29)</f>
        <v>1.4997000599880024</v>
      </c>
      <c r="O4">
        <f>SUM(L4,L5)</f>
        <v>1.6663999999999999</v>
      </c>
    </row>
    <row r="5" spans="1:21" x14ac:dyDescent="0.3">
      <c r="B5" t="s">
        <v>1</v>
      </c>
      <c r="C5" t="s">
        <v>66</v>
      </c>
      <c r="H5">
        <v>1</v>
      </c>
      <c r="I5">
        <v>2</v>
      </c>
      <c r="J5">
        <f>FACT(H5)</f>
        <v>1</v>
      </c>
      <c r="K5">
        <f>FACT(I5)</f>
        <v>2</v>
      </c>
      <c r="L5">
        <f>G30/J5</f>
        <v>0.66639999999999999</v>
      </c>
      <c r="M5">
        <f>H30/K5</f>
        <v>0.22204447999999999</v>
      </c>
      <c r="N5">
        <f>I5*F30/(I5*F30-F29)</f>
        <v>1.4997000599880024</v>
      </c>
      <c r="O5">
        <f>N5*M5</f>
        <v>0.33300011997600476</v>
      </c>
    </row>
    <row r="6" spans="1:21" x14ac:dyDescent="0.3">
      <c r="B6" s="71" t="s">
        <v>3</v>
      </c>
      <c r="C6" s="76" t="s">
        <v>67</v>
      </c>
    </row>
    <row r="8" spans="1:21" x14ac:dyDescent="0.3">
      <c r="A8" t="s">
        <v>68</v>
      </c>
      <c r="B8" s="71" t="s">
        <v>10</v>
      </c>
      <c r="C8" s="101" t="s">
        <v>79</v>
      </c>
      <c r="F8" t="s">
        <v>57</v>
      </c>
      <c r="G8" t="s">
        <v>5</v>
      </c>
      <c r="H8">
        <f>1/(O4+O5)</f>
        <v>0.50015001500150014</v>
      </c>
    </row>
    <row r="9" spans="1:21" x14ac:dyDescent="0.3">
      <c r="A9" t="s">
        <v>69</v>
      </c>
    </row>
    <row r="10" spans="1:21" x14ac:dyDescent="0.3">
      <c r="A10" t="s">
        <v>70</v>
      </c>
      <c r="M10" t="s">
        <v>147</v>
      </c>
    </row>
    <row r="11" spans="1:21" x14ac:dyDescent="0.3">
      <c r="A11" t="s">
        <v>71</v>
      </c>
      <c r="F11" t="s">
        <v>10</v>
      </c>
      <c r="G11" t="s">
        <v>5</v>
      </c>
      <c r="H11">
        <f>(1/FACT(I4-1))*(F29/F30)^I4*((F29*F30)/(I4*F30-F29)^2)*H8</f>
        <v>8.3225052487252302E-2</v>
      </c>
    </row>
    <row r="12" spans="1:21" x14ac:dyDescent="0.3">
      <c r="B12" s="71" t="s">
        <v>80</v>
      </c>
      <c r="C12" s="101" t="s">
        <v>81</v>
      </c>
    </row>
    <row r="13" spans="1:21" x14ac:dyDescent="0.3">
      <c r="F13" s="71" t="s">
        <v>13</v>
      </c>
      <c r="G13" s="75" t="s">
        <v>5</v>
      </c>
      <c r="H13" s="76" t="s">
        <v>53</v>
      </c>
      <c r="I13" t="s">
        <v>5</v>
      </c>
      <c r="J13">
        <f>H11/F29</f>
        <v>0.49955013497750483</v>
      </c>
    </row>
    <row r="14" spans="1:21" x14ac:dyDescent="0.3">
      <c r="B14" t="s">
        <v>57</v>
      </c>
    </row>
    <row r="16" spans="1:21" x14ac:dyDescent="0.3">
      <c r="F16" s="71" t="s">
        <v>16</v>
      </c>
      <c r="G16" s="75" t="s">
        <v>5</v>
      </c>
      <c r="H16" s="76" t="s">
        <v>72</v>
      </c>
      <c r="I16" t="s">
        <v>5</v>
      </c>
      <c r="J16">
        <f>J13+(1/F30)</f>
        <v>4.4995501349775049</v>
      </c>
    </row>
    <row r="19" spans="6:10" x14ac:dyDescent="0.3">
      <c r="F19" t="s">
        <v>6</v>
      </c>
      <c r="G19" t="s">
        <v>5</v>
      </c>
      <c r="H19" t="s">
        <v>73</v>
      </c>
      <c r="I19" t="s">
        <v>5</v>
      </c>
      <c r="J19">
        <f>H11+(F29/F30)</f>
        <v>0.74962505248725231</v>
      </c>
    </row>
    <row r="21" spans="6:10" x14ac:dyDescent="0.3">
      <c r="F21" s="71" t="s">
        <v>74</v>
      </c>
      <c r="G21" s="75" t="s">
        <v>5</v>
      </c>
      <c r="H21" s="76" t="s">
        <v>75</v>
      </c>
      <c r="I21" t="s">
        <v>5</v>
      </c>
      <c r="J21">
        <f>(1/K4)*(F29/F30)^I5*(I5*F30/(I5*F30-F29))*H8</f>
        <v>0.16655001500150013</v>
      </c>
    </row>
    <row r="29" spans="6:10" x14ac:dyDescent="0.3">
      <c r="F29">
        <v>0.1666</v>
      </c>
      <c r="G29">
        <f>(F29/F30)^H4</f>
        <v>1</v>
      </c>
      <c r="H29">
        <f>(F29/F30)^I4</f>
        <v>0.44408895999999998</v>
      </c>
    </row>
    <row r="30" spans="6:10" x14ac:dyDescent="0.3">
      <c r="F30">
        <v>0.25</v>
      </c>
      <c r="G30">
        <f>(F29/F30)^H5</f>
        <v>0.66639999999999999</v>
      </c>
      <c r="H30">
        <f>(F29/F30)^I5</f>
        <v>0.44408895999999998</v>
      </c>
    </row>
    <row r="31" spans="6:10" x14ac:dyDescent="0.3">
      <c r="F31">
        <v>0.33300000000000002</v>
      </c>
    </row>
    <row r="36" spans="3:8" x14ac:dyDescent="0.3">
      <c r="C36" s="45" t="s">
        <v>76</v>
      </c>
      <c r="D36" s="45"/>
      <c r="E36" s="45"/>
      <c r="F36" s="45"/>
      <c r="G36" s="45"/>
      <c r="H36" s="45"/>
    </row>
    <row r="37" spans="3:8" x14ac:dyDescent="0.3">
      <c r="C37" s="45" t="s">
        <v>77</v>
      </c>
      <c r="D37" s="45"/>
      <c r="E37" s="45"/>
      <c r="F37" s="45"/>
      <c r="G37" s="45"/>
      <c r="H37" s="45"/>
    </row>
    <row r="38" spans="3:8" x14ac:dyDescent="0.3">
      <c r="C38" s="45" t="s">
        <v>78</v>
      </c>
      <c r="D38" s="45"/>
      <c r="E38" s="45"/>
      <c r="F38" s="45"/>
      <c r="G38" s="45"/>
      <c r="H38" s="45"/>
    </row>
  </sheetData>
  <mergeCells count="4">
    <mergeCell ref="A1:U1"/>
    <mergeCell ref="C36:H36"/>
    <mergeCell ref="C37:H37"/>
    <mergeCell ref="C38:H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213D-0739-4F8E-B4F6-2C665C96BAEC}">
  <dimension ref="B1:N16"/>
  <sheetViews>
    <sheetView workbookViewId="0">
      <selection activeCell="K17" sqref="K17"/>
    </sheetView>
  </sheetViews>
  <sheetFormatPr defaultRowHeight="14.4" x14ac:dyDescent="0.3"/>
  <sheetData>
    <row r="1" spans="2:14" ht="15" thickBot="1" x14ac:dyDescent="0.35">
      <c r="J1" s="48" t="s">
        <v>82</v>
      </c>
    </row>
    <row r="3" spans="2:14" x14ac:dyDescent="0.3">
      <c r="B3" t="s">
        <v>2</v>
      </c>
    </row>
    <row r="6" spans="2:14" x14ac:dyDescent="0.3">
      <c r="E6" s="87" t="s">
        <v>130</v>
      </c>
      <c r="F6" s="88" t="s">
        <v>129</v>
      </c>
      <c r="G6" s="89"/>
      <c r="K6" s="90" t="s">
        <v>141</v>
      </c>
      <c r="L6" s="88"/>
      <c r="M6" s="88"/>
      <c r="N6" s="76" t="s">
        <v>142</v>
      </c>
    </row>
    <row r="8" spans="2:14" x14ac:dyDescent="0.3">
      <c r="E8" s="87" t="s">
        <v>131</v>
      </c>
      <c r="F8" s="99" t="s">
        <v>132</v>
      </c>
      <c r="G8" s="99"/>
      <c r="H8" s="99"/>
      <c r="I8" s="100"/>
    </row>
    <row r="10" spans="2:14" x14ac:dyDescent="0.3">
      <c r="E10" s="87" t="s">
        <v>133</v>
      </c>
      <c r="F10" s="101" t="s">
        <v>134</v>
      </c>
    </row>
    <row r="12" spans="2:14" x14ac:dyDescent="0.3">
      <c r="E12" s="87" t="s">
        <v>135</v>
      </c>
      <c r="F12" s="88" t="s">
        <v>136</v>
      </c>
      <c r="G12" s="88"/>
      <c r="H12" s="89"/>
    </row>
    <row r="14" spans="2:14" x14ac:dyDescent="0.3">
      <c r="E14" s="87" t="s">
        <v>137</v>
      </c>
      <c r="F14" s="88" t="s">
        <v>138</v>
      </c>
      <c r="G14" s="89"/>
    </row>
    <row r="16" spans="2:14" x14ac:dyDescent="0.3">
      <c r="E16" s="87" t="s">
        <v>139</v>
      </c>
      <c r="F16" s="88" t="s">
        <v>140</v>
      </c>
      <c r="G16" s="89"/>
    </row>
  </sheetData>
  <mergeCells count="6">
    <mergeCell ref="F8:I8"/>
    <mergeCell ref="F6:G6"/>
    <mergeCell ref="F12:H12"/>
    <mergeCell ref="F14:G14"/>
    <mergeCell ref="F16:G16"/>
    <mergeCell ref="K6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0DB4-A2AB-4EAB-BDF3-E9BD16444BA9}">
  <dimension ref="B1:K15"/>
  <sheetViews>
    <sheetView workbookViewId="0">
      <selection activeCell="I24" sqref="I24"/>
    </sheetView>
  </sheetViews>
  <sheetFormatPr defaultRowHeight="14.4" x14ac:dyDescent="0.3"/>
  <sheetData>
    <row r="1" spans="2:11" x14ac:dyDescent="0.3">
      <c r="I1" s="66" t="s">
        <v>106</v>
      </c>
      <c r="J1" s="102"/>
      <c r="K1" s="67"/>
    </row>
    <row r="3" spans="2:11" x14ac:dyDescent="0.3">
      <c r="B3" t="s">
        <v>2</v>
      </c>
    </row>
    <row r="5" spans="2:11" x14ac:dyDescent="0.3">
      <c r="D5" s="105" t="s">
        <v>0</v>
      </c>
      <c r="E5" s="3">
        <v>3</v>
      </c>
      <c r="F5" s="3" t="s">
        <v>148</v>
      </c>
      <c r="G5" s="3"/>
      <c r="H5" s="3"/>
      <c r="I5" s="3"/>
    </row>
    <row r="6" spans="2:11" x14ac:dyDescent="0.3">
      <c r="D6" s="105" t="s">
        <v>1</v>
      </c>
      <c r="E6" s="3" t="s">
        <v>149</v>
      </c>
      <c r="F6" s="3"/>
      <c r="G6" s="3"/>
      <c r="H6" s="3"/>
      <c r="I6" s="3"/>
    </row>
    <row r="7" spans="2:11" x14ac:dyDescent="0.3">
      <c r="D7" s="3"/>
      <c r="E7" s="3"/>
      <c r="F7" s="3"/>
      <c r="G7" s="3"/>
      <c r="H7" s="3"/>
      <c r="I7" s="3"/>
    </row>
    <row r="8" spans="2:11" x14ac:dyDescent="0.3">
      <c r="D8" s="15" t="s">
        <v>150</v>
      </c>
      <c r="E8" s="15"/>
      <c r="F8" s="15"/>
      <c r="G8" s="15"/>
      <c r="H8" s="31" t="s">
        <v>151</v>
      </c>
      <c r="I8" s="31" t="s">
        <v>152</v>
      </c>
    </row>
    <row r="9" spans="2:11" x14ac:dyDescent="0.3">
      <c r="D9" s="15" t="s">
        <v>153</v>
      </c>
      <c r="E9" s="15"/>
      <c r="F9" s="15"/>
      <c r="G9" s="15"/>
      <c r="H9" s="106">
        <v>0.5</v>
      </c>
      <c r="I9" s="31" t="s">
        <v>154</v>
      </c>
    </row>
    <row r="10" spans="2:11" x14ac:dyDescent="0.3">
      <c r="D10" s="15" t="s">
        <v>155</v>
      </c>
      <c r="E10" s="15"/>
      <c r="F10" s="15"/>
      <c r="G10" s="15"/>
      <c r="H10" s="31">
        <v>2</v>
      </c>
      <c r="I10" s="31" t="s">
        <v>148</v>
      </c>
    </row>
    <row r="11" spans="2:11" x14ac:dyDescent="0.3">
      <c r="D11" s="3"/>
      <c r="E11" s="3"/>
      <c r="F11" s="3"/>
      <c r="G11" s="3"/>
      <c r="H11" s="3"/>
      <c r="I11" s="3"/>
    </row>
    <row r="12" spans="2:11" x14ac:dyDescent="0.3">
      <c r="D12" s="3"/>
      <c r="E12" s="3"/>
      <c r="F12" s="3"/>
      <c r="G12" s="3"/>
      <c r="H12" s="3"/>
      <c r="I12" s="3"/>
    </row>
    <row r="13" spans="2:11" ht="16.2" x14ac:dyDescent="0.35">
      <c r="D13" s="3" t="s">
        <v>156</v>
      </c>
      <c r="E13" s="105" t="s">
        <v>157</v>
      </c>
      <c r="F13" s="3" t="s">
        <v>4</v>
      </c>
      <c r="G13" s="3"/>
      <c r="H13" s="3">
        <f>E5/H10</f>
        <v>1.5</v>
      </c>
      <c r="I13" s="3"/>
    </row>
    <row r="14" spans="2:11" x14ac:dyDescent="0.3">
      <c r="D14" s="3"/>
      <c r="E14" s="3"/>
      <c r="F14" s="3"/>
      <c r="G14" s="3"/>
      <c r="H14" s="3"/>
      <c r="I14" s="3"/>
    </row>
    <row r="15" spans="2:11" ht="16.2" x14ac:dyDescent="0.3">
      <c r="D15" s="3" t="s">
        <v>158</v>
      </c>
      <c r="E15" s="3" t="s">
        <v>159</v>
      </c>
      <c r="F15" s="15" t="s">
        <v>160</v>
      </c>
      <c r="G15" s="15"/>
      <c r="H15" s="15"/>
      <c r="I15" s="3">
        <v>1.9E-2</v>
      </c>
    </row>
  </sheetData>
  <mergeCells count="5">
    <mergeCell ref="I1:K1"/>
    <mergeCell ref="D8:G8"/>
    <mergeCell ref="D9:G9"/>
    <mergeCell ref="D10:G10"/>
    <mergeCell ref="F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E52E-43C9-4148-9D5F-90BEE36DD073}">
  <dimension ref="B1:T27"/>
  <sheetViews>
    <sheetView topLeftCell="A4" workbookViewId="0">
      <selection activeCell="L28" sqref="L28"/>
    </sheetView>
  </sheetViews>
  <sheetFormatPr defaultRowHeight="14.4" x14ac:dyDescent="0.3"/>
  <sheetData>
    <row r="1" spans="2:20" ht="15" thickBot="1" x14ac:dyDescent="0.35">
      <c r="J1" s="68" t="s">
        <v>83</v>
      </c>
      <c r="K1" s="69"/>
    </row>
    <row r="3" spans="2:20" x14ac:dyDescent="0.3">
      <c r="C3" t="s">
        <v>2</v>
      </c>
    </row>
    <row r="4" spans="2:20" x14ac:dyDescent="0.3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2:20" x14ac:dyDescent="0.3">
      <c r="B5" s="49"/>
      <c r="C5" s="3"/>
      <c r="D5" s="31" t="s">
        <v>84</v>
      </c>
      <c r="E5" s="3"/>
      <c r="F5" s="3"/>
      <c r="G5" s="3" t="s">
        <v>85</v>
      </c>
      <c r="H5" s="3"/>
      <c r="I5" s="3"/>
      <c r="J5" s="3"/>
      <c r="K5" s="3" t="s">
        <v>86</v>
      </c>
      <c r="L5" s="3"/>
      <c r="M5" s="3"/>
      <c r="N5" s="3"/>
      <c r="O5" s="15" t="s">
        <v>90</v>
      </c>
      <c r="P5" s="15"/>
      <c r="Q5" s="15"/>
      <c r="R5" s="3"/>
      <c r="S5" s="15" t="s">
        <v>91</v>
      </c>
      <c r="T5" s="15"/>
    </row>
    <row r="6" spans="2:20" x14ac:dyDescent="0.3">
      <c r="B6" s="4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x14ac:dyDescent="0.3">
      <c r="B7" s="49"/>
      <c r="C7" s="15" t="s">
        <v>87</v>
      </c>
      <c r="D7" s="15"/>
      <c r="E7" s="15"/>
      <c r="F7" s="3"/>
      <c r="G7" s="15">
        <v>45</v>
      </c>
      <c r="H7" s="15"/>
      <c r="I7" s="15"/>
      <c r="J7" s="3"/>
      <c r="K7" s="15">
        <v>0.4</v>
      </c>
      <c r="L7" s="15"/>
      <c r="M7" s="15"/>
      <c r="N7" s="3"/>
      <c r="O7" s="15">
        <f>K7</f>
        <v>0.4</v>
      </c>
      <c r="P7" s="15"/>
      <c r="Q7" s="15"/>
      <c r="R7" s="3"/>
      <c r="S7" s="15" t="s">
        <v>93</v>
      </c>
      <c r="T7" s="15"/>
    </row>
    <row r="8" spans="2:20" x14ac:dyDescent="0.3">
      <c r="B8" s="49"/>
      <c r="C8" s="15" t="s">
        <v>50</v>
      </c>
      <c r="D8" s="15"/>
      <c r="E8" s="15"/>
      <c r="F8" s="3"/>
      <c r="G8" s="15">
        <v>60</v>
      </c>
      <c r="H8" s="15"/>
      <c r="I8" s="15"/>
      <c r="J8" s="51"/>
      <c r="K8" s="15">
        <v>0.15</v>
      </c>
      <c r="L8" s="15"/>
      <c r="M8" s="15"/>
      <c r="N8" s="3"/>
      <c r="O8" s="15">
        <f>O7+K8</f>
        <v>0.55000000000000004</v>
      </c>
      <c r="P8" s="15"/>
      <c r="Q8" s="15"/>
      <c r="R8" s="3"/>
      <c r="S8" s="15" t="s">
        <v>94</v>
      </c>
      <c r="T8" s="15"/>
    </row>
    <row r="9" spans="2:20" x14ac:dyDescent="0.3">
      <c r="B9" s="49"/>
      <c r="C9" s="15" t="s">
        <v>50</v>
      </c>
      <c r="D9" s="15"/>
      <c r="E9" s="15"/>
      <c r="F9" s="3"/>
      <c r="G9" s="15">
        <v>15</v>
      </c>
      <c r="H9" s="15"/>
      <c r="I9" s="15"/>
      <c r="J9" s="3"/>
      <c r="K9" s="15">
        <v>0.15</v>
      </c>
      <c r="L9" s="15"/>
      <c r="M9" s="15"/>
      <c r="N9" s="3"/>
      <c r="O9" s="15">
        <f t="shared" ref="O9:O11" si="0">O8+K9</f>
        <v>0.70000000000000007</v>
      </c>
      <c r="P9" s="15"/>
      <c r="Q9" s="15"/>
      <c r="R9" s="3"/>
      <c r="S9" s="15" t="s">
        <v>95</v>
      </c>
      <c r="T9" s="15"/>
    </row>
    <row r="10" spans="2:20" x14ac:dyDescent="0.3">
      <c r="B10" s="49"/>
      <c r="C10" s="15" t="s">
        <v>88</v>
      </c>
      <c r="D10" s="15"/>
      <c r="E10" s="15"/>
      <c r="F10" s="3"/>
      <c r="G10" s="15">
        <v>45</v>
      </c>
      <c r="H10" s="15"/>
      <c r="I10" s="15"/>
      <c r="J10" s="3"/>
      <c r="K10" s="15">
        <v>0.1</v>
      </c>
      <c r="L10" s="15"/>
      <c r="M10" s="15"/>
      <c r="N10" s="3"/>
      <c r="O10" s="15">
        <f t="shared" si="0"/>
        <v>0.8</v>
      </c>
      <c r="P10" s="15"/>
      <c r="Q10" s="15"/>
      <c r="R10" s="3"/>
      <c r="S10" s="15" t="s">
        <v>96</v>
      </c>
      <c r="T10" s="15"/>
    </row>
    <row r="11" spans="2:20" x14ac:dyDescent="0.3">
      <c r="B11" s="49"/>
      <c r="C11" s="15" t="s">
        <v>89</v>
      </c>
      <c r="D11" s="15"/>
      <c r="E11" s="15"/>
      <c r="F11" s="3"/>
      <c r="G11" s="15">
        <v>15</v>
      </c>
      <c r="H11" s="15"/>
      <c r="I11" s="15"/>
      <c r="J11" s="3"/>
      <c r="K11" s="15">
        <v>0.2</v>
      </c>
      <c r="L11" s="15"/>
      <c r="M11" s="15"/>
      <c r="N11" s="3"/>
      <c r="O11" s="15">
        <f t="shared" si="0"/>
        <v>1</v>
      </c>
      <c r="P11" s="15"/>
      <c r="Q11" s="15"/>
      <c r="R11" s="3"/>
      <c r="S11" s="15" t="s">
        <v>97</v>
      </c>
      <c r="T11" s="15"/>
    </row>
    <row r="12" spans="2:20" x14ac:dyDescent="0.3">
      <c r="B12" s="49"/>
      <c r="C12" s="49"/>
      <c r="D12" s="49"/>
      <c r="E12" s="49"/>
      <c r="F12" s="71" t="s">
        <v>92</v>
      </c>
      <c r="G12" s="92">
        <f>SUM(G7:I11)</f>
        <v>180</v>
      </c>
      <c r="H12" s="53"/>
      <c r="I12" s="53"/>
      <c r="J12" s="49"/>
      <c r="K12" s="49"/>
      <c r="L12" s="49"/>
      <c r="M12" s="49"/>
      <c r="N12" s="49"/>
    </row>
    <row r="13" spans="2:20" x14ac:dyDescent="0.3"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 spans="2:20" x14ac:dyDescent="0.3"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6" spans="2:20" x14ac:dyDescent="0.3">
      <c r="C16" s="62" t="s">
        <v>98</v>
      </c>
      <c r="D16" s="93"/>
      <c r="E16" s="54" t="s">
        <v>99</v>
      </c>
      <c r="F16" s="56"/>
      <c r="G16" s="54" t="s">
        <v>100</v>
      </c>
      <c r="H16" s="56"/>
      <c r="I16" s="54" t="s">
        <v>101</v>
      </c>
      <c r="J16" s="56"/>
      <c r="K16" s="54" t="s">
        <v>102</v>
      </c>
      <c r="L16" s="56"/>
      <c r="M16" s="54" t="s">
        <v>103</v>
      </c>
      <c r="N16" s="56"/>
      <c r="O16" s="54" t="s">
        <v>104</v>
      </c>
      <c r="P16" s="55"/>
      <c r="Q16" s="56"/>
    </row>
    <row r="17" spans="3:17" x14ac:dyDescent="0.3">
      <c r="C17" s="57"/>
      <c r="D17" s="58"/>
      <c r="E17" s="57"/>
      <c r="F17" s="58"/>
      <c r="G17" s="57"/>
      <c r="H17" s="58"/>
      <c r="I17" s="57"/>
      <c r="J17" s="58"/>
      <c r="K17" s="57"/>
      <c r="L17" s="58"/>
      <c r="M17" s="57"/>
      <c r="N17" s="58"/>
      <c r="O17" s="57"/>
      <c r="P17" s="49"/>
      <c r="Q17" s="58"/>
    </row>
    <row r="18" spans="3:17" x14ac:dyDescent="0.3">
      <c r="C18" s="60">
        <v>0.33333333333333331</v>
      </c>
      <c r="D18" s="94"/>
      <c r="E18" s="96">
        <v>40</v>
      </c>
      <c r="F18" s="97"/>
      <c r="G18" s="96">
        <v>60</v>
      </c>
      <c r="H18" s="97"/>
      <c r="I18" s="60">
        <v>0.33333333333333331</v>
      </c>
      <c r="J18" s="97"/>
      <c r="K18" s="60">
        <v>0.375</v>
      </c>
      <c r="L18" s="97"/>
      <c r="M18" s="96">
        <v>0</v>
      </c>
      <c r="N18" s="97"/>
      <c r="O18" s="96">
        <v>0</v>
      </c>
      <c r="P18" s="50"/>
      <c r="Q18" s="97"/>
    </row>
    <row r="19" spans="3:17" x14ac:dyDescent="0.3">
      <c r="C19" s="60">
        <v>0.35416666666666669</v>
      </c>
      <c r="D19" s="94"/>
      <c r="E19" s="96">
        <v>82</v>
      </c>
      <c r="F19" s="97"/>
      <c r="G19" s="96">
        <v>15</v>
      </c>
      <c r="H19" s="97"/>
      <c r="I19" s="60">
        <v>0.375</v>
      </c>
      <c r="J19" s="97"/>
      <c r="K19" s="60">
        <v>0.38541666666666669</v>
      </c>
      <c r="L19" s="97"/>
      <c r="M19" s="96">
        <v>30</v>
      </c>
      <c r="N19" s="97"/>
      <c r="O19" s="96">
        <v>0</v>
      </c>
      <c r="P19" s="50"/>
      <c r="Q19" s="97"/>
    </row>
    <row r="20" spans="3:17" x14ac:dyDescent="0.3">
      <c r="C20" s="60">
        <v>0.375</v>
      </c>
      <c r="D20" s="94"/>
      <c r="E20" s="96">
        <v>11</v>
      </c>
      <c r="F20" s="97"/>
      <c r="G20" s="96">
        <v>45</v>
      </c>
      <c r="H20" s="97"/>
      <c r="I20" s="60">
        <v>0.38541666666666669</v>
      </c>
      <c r="J20" s="97"/>
      <c r="K20" s="60">
        <v>0.41666666666666669</v>
      </c>
      <c r="L20" s="97"/>
      <c r="M20" s="96">
        <v>15</v>
      </c>
      <c r="N20" s="97"/>
      <c r="O20" s="96">
        <v>0</v>
      </c>
      <c r="P20" s="50"/>
      <c r="Q20" s="97"/>
    </row>
    <row r="21" spans="3:17" x14ac:dyDescent="0.3">
      <c r="C21" s="60">
        <v>0.39583333333333298</v>
      </c>
      <c r="D21" s="94"/>
      <c r="E21" s="96">
        <v>34</v>
      </c>
      <c r="F21" s="97"/>
      <c r="G21" s="96">
        <v>45</v>
      </c>
      <c r="H21" s="97"/>
      <c r="I21" s="60">
        <v>0.41666666666666669</v>
      </c>
      <c r="J21" s="97"/>
      <c r="K21" s="60">
        <v>0.44791666666666669</v>
      </c>
      <c r="L21" s="97"/>
      <c r="M21" s="96">
        <v>30</v>
      </c>
      <c r="N21" s="97"/>
      <c r="O21" s="96">
        <v>0</v>
      </c>
      <c r="P21" s="50"/>
      <c r="Q21" s="97"/>
    </row>
    <row r="22" spans="3:17" x14ac:dyDescent="0.3">
      <c r="C22" s="60">
        <v>0.41666666666666702</v>
      </c>
      <c r="D22" s="94"/>
      <c r="E22" s="96">
        <v>25</v>
      </c>
      <c r="F22" s="97"/>
      <c r="G22" s="96">
        <v>45</v>
      </c>
      <c r="H22" s="97"/>
      <c r="I22" s="60">
        <v>0.44791666666666669</v>
      </c>
      <c r="J22" s="97"/>
      <c r="K22" s="60">
        <v>0.47916666666666669</v>
      </c>
      <c r="L22" s="97"/>
      <c r="M22" s="96">
        <v>45</v>
      </c>
      <c r="N22" s="97"/>
      <c r="O22" s="96">
        <v>0</v>
      </c>
      <c r="P22" s="50"/>
      <c r="Q22" s="97"/>
    </row>
    <row r="23" spans="3:17" x14ac:dyDescent="0.3">
      <c r="C23" s="60">
        <v>0.4375</v>
      </c>
      <c r="D23" s="94"/>
      <c r="E23" s="96">
        <v>66</v>
      </c>
      <c r="F23" s="97"/>
      <c r="G23" s="96">
        <v>15</v>
      </c>
      <c r="H23" s="97"/>
      <c r="I23" s="60">
        <v>0.47916666666666669</v>
      </c>
      <c r="J23" s="97"/>
      <c r="K23" s="60">
        <v>0.48958333333333331</v>
      </c>
      <c r="L23" s="97"/>
      <c r="M23" s="96">
        <v>60</v>
      </c>
      <c r="N23" s="97"/>
      <c r="O23" s="96">
        <v>0</v>
      </c>
      <c r="P23" s="50"/>
      <c r="Q23" s="97"/>
    </row>
    <row r="24" spans="3:17" x14ac:dyDescent="0.3">
      <c r="C24" s="60">
        <v>0.45833333333333298</v>
      </c>
      <c r="D24" s="94"/>
      <c r="E24" s="96">
        <v>17</v>
      </c>
      <c r="F24" s="97"/>
      <c r="G24" s="96">
        <v>45</v>
      </c>
      <c r="H24" s="97"/>
      <c r="I24" s="60">
        <v>0.48958333333333331</v>
      </c>
      <c r="J24" s="97"/>
      <c r="K24" s="60">
        <v>0.52083333333333337</v>
      </c>
      <c r="L24" s="97"/>
      <c r="M24" s="96">
        <v>45</v>
      </c>
      <c r="N24" s="97"/>
      <c r="O24" s="96">
        <v>0</v>
      </c>
      <c r="P24" s="50"/>
      <c r="Q24" s="97"/>
    </row>
    <row r="25" spans="3:17" x14ac:dyDescent="0.3">
      <c r="C25" s="64">
        <v>0.47916666666666702</v>
      </c>
      <c r="D25" s="95"/>
      <c r="E25" s="78">
        <v>79</v>
      </c>
      <c r="F25" s="98"/>
      <c r="G25" s="78">
        <v>45</v>
      </c>
      <c r="H25" s="98"/>
      <c r="I25" s="64">
        <v>0.52083333333333337</v>
      </c>
      <c r="J25" s="98"/>
      <c r="K25" s="64">
        <v>0.55208333333333337</v>
      </c>
      <c r="L25" s="98"/>
      <c r="M25" s="78">
        <v>60</v>
      </c>
      <c r="N25" s="98"/>
      <c r="O25" s="78">
        <v>0</v>
      </c>
      <c r="P25" s="65"/>
      <c r="Q25" s="98"/>
    </row>
    <row r="27" spans="3:17" x14ac:dyDescent="0.3">
      <c r="L27">
        <f>AVERAGE(M18:N25)</f>
        <v>35.625</v>
      </c>
    </row>
  </sheetData>
  <mergeCells count="85">
    <mergeCell ref="K25:L25"/>
    <mergeCell ref="M25:N25"/>
    <mergeCell ref="O22:Q22"/>
    <mergeCell ref="O23:Q23"/>
    <mergeCell ref="O24:Q24"/>
    <mergeCell ref="O25:Q25"/>
    <mergeCell ref="K22:L22"/>
    <mergeCell ref="M22:N22"/>
    <mergeCell ref="K23:L23"/>
    <mergeCell ref="M23:N23"/>
    <mergeCell ref="K24:L24"/>
    <mergeCell ref="M24:N24"/>
    <mergeCell ref="K20:L20"/>
    <mergeCell ref="M20:N20"/>
    <mergeCell ref="K21:L21"/>
    <mergeCell ref="M21:N21"/>
    <mergeCell ref="O20:Q20"/>
    <mergeCell ref="O21:Q21"/>
    <mergeCell ref="J1:K1"/>
    <mergeCell ref="K18:L18"/>
    <mergeCell ref="K19:L19"/>
    <mergeCell ref="M18:N18"/>
    <mergeCell ref="O18:Q18"/>
    <mergeCell ref="M19:N19"/>
    <mergeCell ref="O19:Q19"/>
    <mergeCell ref="G25:H25"/>
    <mergeCell ref="I18:J18"/>
    <mergeCell ref="I19:J19"/>
    <mergeCell ref="I20:J20"/>
    <mergeCell ref="I21:J21"/>
    <mergeCell ref="I22:J22"/>
    <mergeCell ref="I23:J23"/>
    <mergeCell ref="I24:J24"/>
    <mergeCell ref="I25:J25"/>
    <mergeCell ref="G19:H19"/>
    <mergeCell ref="G20:H20"/>
    <mergeCell ref="G21:H21"/>
    <mergeCell ref="G22:H22"/>
    <mergeCell ref="G23:H23"/>
    <mergeCell ref="G24:H24"/>
    <mergeCell ref="C25:D25"/>
    <mergeCell ref="E18:F18"/>
    <mergeCell ref="E19:F19"/>
    <mergeCell ref="E20:F20"/>
    <mergeCell ref="E21:F21"/>
    <mergeCell ref="E22:F22"/>
    <mergeCell ref="E23:F23"/>
    <mergeCell ref="E24:F24"/>
    <mergeCell ref="E25:F25"/>
    <mergeCell ref="C19:D19"/>
    <mergeCell ref="C20:D20"/>
    <mergeCell ref="C21:D21"/>
    <mergeCell ref="C22:D22"/>
    <mergeCell ref="C23:D23"/>
    <mergeCell ref="C24:D24"/>
    <mergeCell ref="S9:T9"/>
    <mergeCell ref="S10:T10"/>
    <mergeCell ref="S11:T11"/>
    <mergeCell ref="C18:D18"/>
    <mergeCell ref="C16:D16"/>
    <mergeCell ref="G18:H18"/>
    <mergeCell ref="O5:Q5"/>
    <mergeCell ref="S5:T5"/>
    <mergeCell ref="O7:Q7"/>
    <mergeCell ref="O8:Q8"/>
    <mergeCell ref="O9:Q9"/>
    <mergeCell ref="O10:Q10"/>
    <mergeCell ref="O11:Q11"/>
    <mergeCell ref="S7:T7"/>
    <mergeCell ref="S8:T8"/>
    <mergeCell ref="C7:E7"/>
    <mergeCell ref="C8:E8"/>
    <mergeCell ref="C9:E9"/>
    <mergeCell ref="C10:E10"/>
    <mergeCell ref="C11:E11"/>
    <mergeCell ref="K7:M7"/>
    <mergeCell ref="K8:M8"/>
    <mergeCell ref="K9:M9"/>
    <mergeCell ref="K10:M10"/>
    <mergeCell ref="K11:M11"/>
    <mergeCell ref="G7:I7"/>
    <mergeCell ref="G8:I8"/>
    <mergeCell ref="G9:I9"/>
    <mergeCell ref="G10:I10"/>
    <mergeCell ref="G11:I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CCBB-BF6B-4B37-8F74-0B933B96B3C2}">
  <dimension ref="A1:N20"/>
  <sheetViews>
    <sheetView workbookViewId="0">
      <selection activeCell="H16" sqref="H16"/>
    </sheetView>
  </sheetViews>
  <sheetFormatPr defaultRowHeight="14.4" x14ac:dyDescent="0.3"/>
  <cols>
    <col min="6" max="6" width="18" customWidth="1"/>
    <col min="8" max="8" width="18.109375" customWidth="1"/>
    <col min="9" max="9" width="8.88671875" hidden="1" customWidth="1"/>
  </cols>
  <sheetData>
    <row r="1" spans="1:14" x14ac:dyDescent="0.3">
      <c r="A1" t="s">
        <v>2</v>
      </c>
      <c r="J1" s="109" t="s">
        <v>146</v>
      </c>
      <c r="K1" s="110"/>
      <c r="L1" s="111"/>
    </row>
    <row r="2" spans="1:14" x14ac:dyDescent="0.3">
      <c r="C2" s="54"/>
      <c r="D2" s="55"/>
      <c r="E2" s="55"/>
      <c r="F2" s="55"/>
      <c r="G2" s="55"/>
      <c r="H2" s="55"/>
      <c r="I2" s="55"/>
      <c r="J2" s="49"/>
      <c r="K2" s="58"/>
    </row>
    <row r="3" spans="1:14" x14ac:dyDescent="0.3">
      <c r="C3" s="57"/>
      <c r="D3" s="61" t="s">
        <v>89</v>
      </c>
      <c r="E3" s="55"/>
      <c r="F3" s="52" t="s">
        <v>143</v>
      </c>
      <c r="G3" s="55"/>
      <c r="H3" s="77" t="s">
        <v>144</v>
      </c>
      <c r="I3" s="49"/>
      <c r="J3" s="49"/>
      <c r="K3" s="58" t="s">
        <v>145</v>
      </c>
    </row>
    <row r="4" spans="1:14" x14ac:dyDescent="0.3">
      <c r="C4" s="57"/>
      <c r="D4" s="57">
        <v>1</v>
      </c>
      <c r="E4" s="49"/>
      <c r="F4" s="49">
        <f>_xlfn.BINOM.DIST(D4,7,1/4,FALSE)</f>
        <v>0.31146240234375006</v>
      </c>
      <c r="G4" s="49"/>
      <c r="H4" s="58">
        <f>K4+F4</f>
        <v>0.44494628906250006</v>
      </c>
      <c r="I4" s="49"/>
      <c r="J4" s="49"/>
      <c r="K4" s="58">
        <f>_xlfn.BINOM.DIST(0,7,1/4,TRUE)</f>
        <v>0.13348388671875</v>
      </c>
    </row>
    <row r="5" spans="1:14" x14ac:dyDescent="0.3">
      <c r="C5" s="57"/>
      <c r="D5" s="57">
        <v>2</v>
      </c>
      <c r="E5" s="49"/>
      <c r="F5" s="49">
        <f t="shared" ref="F5:F10" si="0">_xlfn.BINOM.DIST(D5,7,1/4,FALSE)</f>
        <v>0.31146240234375006</v>
      </c>
      <c r="G5" s="49"/>
      <c r="H5" s="58">
        <f>H4+F5</f>
        <v>0.75640869140625011</v>
      </c>
      <c r="I5" s="49"/>
      <c r="J5" s="49"/>
      <c r="K5" s="58"/>
    </row>
    <row r="6" spans="1:14" x14ac:dyDescent="0.3">
      <c r="C6" s="57"/>
      <c r="D6" s="57">
        <v>3</v>
      </c>
      <c r="E6" s="49"/>
      <c r="F6" s="49">
        <f t="shared" si="0"/>
        <v>0.17303466796875006</v>
      </c>
      <c r="G6" s="49"/>
      <c r="H6" s="58">
        <f t="shared" ref="H6:H10" si="1">H5+F6</f>
        <v>0.92944335937500022</v>
      </c>
      <c r="I6" s="49"/>
      <c r="J6" s="49"/>
      <c r="K6" s="58"/>
    </row>
    <row r="7" spans="1:14" x14ac:dyDescent="0.3">
      <c r="C7" s="57"/>
      <c r="D7" s="57">
        <v>4</v>
      </c>
      <c r="E7" s="49"/>
      <c r="F7" s="49">
        <f t="shared" si="0"/>
        <v>5.7678222656250028E-2</v>
      </c>
      <c r="G7" s="49"/>
      <c r="H7" s="58">
        <f t="shared" si="1"/>
        <v>0.98712158203125022</v>
      </c>
      <c r="I7" s="49"/>
      <c r="J7" s="49"/>
      <c r="K7" s="58"/>
    </row>
    <row r="8" spans="1:14" x14ac:dyDescent="0.3">
      <c r="C8" s="57"/>
      <c r="D8" s="57">
        <v>5</v>
      </c>
      <c r="E8" s="49"/>
      <c r="F8" s="49">
        <f t="shared" si="0"/>
        <v>1.1535644531250009E-2</v>
      </c>
      <c r="G8" s="49"/>
      <c r="H8" s="58">
        <f t="shared" si="1"/>
        <v>0.99865722656250022</v>
      </c>
      <c r="I8" s="49"/>
      <c r="J8" s="49"/>
      <c r="K8" s="58"/>
    </row>
    <row r="9" spans="1:14" x14ac:dyDescent="0.3">
      <c r="C9" s="57"/>
      <c r="D9" s="57">
        <v>6</v>
      </c>
      <c r="E9" s="49"/>
      <c r="F9" s="49">
        <f t="shared" si="0"/>
        <v>1.2817382812500002E-3</v>
      </c>
      <c r="G9" s="49"/>
      <c r="H9" s="58">
        <f t="shared" si="1"/>
        <v>0.99993896484375022</v>
      </c>
      <c r="I9" s="49"/>
      <c r="J9" s="49"/>
      <c r="K9" s="58"/>
      <c r="N9">
        <f>_xlfn.BINOM.DIST(D13,7,1/4,FALSE)</f>
        <v>0.13348388671875</v>
      </c>
    </row>
    <row r="10" spans="1:14" x14ac:dyDescent="0.3">
      <c r="C10" s="1"/>
      <c r="D10" s="1">
        <v>7</v>
      </c>
      <c r="E10" s="59"/>
      <c r="F10" s="59">
        <f t="shared" si="0"/>
        <v>6.1035156250000027E-5</v>
      </c>
      <c r="G10" s="59"/>
      <c r="H10" s="2">
        <f t="shared" si="1"/>
        <v>1.0000000000000002</v>
      </c>
      <c r="I10" s="59"/>
      <c r="J10" s="59"/>
      <c r="K10" s="2"/>
    </row>
    <row r="12" spans="1:14" x14ac:dyDescent="0.3">
      <c r="D12" t="s">
        <v>89</v>
      </c>
      <c r="F12" t="s">
        <v>128</v>
      </c>
      <c r="H12" t="s">
        <v>161</v>
      </c>
    </row>
    <row r="13" spans="1:14" x14ac:dyDescent="0.3">
      <c r="D13" s="54">
        <v>0</v>
      </c>
      <c r="E13" s="55"/>
      <c r="F13" s="55">
        <f>_xlfn.BINOM.DIST(D13,7,1/4,FALSE)</f>
        <v>0.13348388671875</v>
      </c>
      <c r="G13" s="55"/>
      <c r="H13" s="56">
        <f>_xlfn.BINOM.DIST(D13,7,1/4,TRUE)</f>
        <v>0.13348388671875</v>
      </c>
    </row>
    <row r="14" spans="1:14" x14ac:dyDescent="0.3">
      <c r="D14" s="57">
        <v>1</v>
      </c>
      <c r="E14" s="49"/>
      <c r="F14" s="49">
        <f t="shared" ref="F14:F20" si="2">_xlfn.BINOM.DIST(D14,7,1/4,FALSE)</f>
        <v>0.31146240234375006</v>
      </c>
      <c r="G14" s="49"/>
      <c r="H14" s="58">
        <f>H13+F14</f>
        <v>0.44494628906250006</v>
      </c>
    </row>
    <row r="15" spans="1:14" x14ac:dyDescent="0.3">
      <c r="D15" s="57">
        <v>2</v>
      </c>
      <c r="E15" s="49"/>
      <c r="F15" s="49">
        <f t="shared" si="2"/>
        <v>0.31146240234375006</v>
      </c>
      <c r="G15" s="49"/>
      <c r="H15" s="58">
        <f>H14+F15</f>
        <v>0.75640869140625011</v>
      </c>
    </row>
    <row r="16" spans="1:14" x14ac:dyDescent="0.3">
      <c r="D16" s="57">
        <v>3</v>
      </c>
      <c r="E16" s="49"/>
      <c r="F16" s="49">
        <f t="shared" si="2"/>
        <v>0.17303466796875006</v>
      </c>
      <c r="G16" s="49"/>
      <c r="H16" s="58">
        <f>H15+F16</f>
        <v>0.92944335937500022</v>
      </c>
    </row>
    <row r="17" spans="4:8" x14ac:dyDescent="0.3">
      <c r="D17" s="57">
        <v>4</v>
      </c>
      <c r="E17" s="49"/>
      <c r="F17" s="49">
        <f t="shared" si="2"/>
        <v>5.7678222656250028E-2</v>
      </c>
      <c r="G17" s="49"/>
      <c r="H17" s="58">
        <f t="shared" ref="H15:H20" si="3">H16+F17</f>
        <v>0.98712158203125022</v>
      </c>
    </row>
    <row r="18" spans="4:8" x14ac:dyDescent="0.3">
      <c r="D18" s="57">
        <v>5</v>
      </c>
      <c r="E18" s="49"/>
      <c r="F18" s="49">
        <f t="shared" si="2"/>
        <v>1.1535644531250009E-2</v>
      </c>
      <c r="G18" s="49"/>
      <c r="H18" s="58">
        <f t="shared" si="3"/>
        <v>0.99865722656250022</v>
      </c>
    </row>
    <row r="19" spans="4:8" x14ac:dyDescent="0.3">
      <c r="D19" s="57">
        <v>6</v>
      </c>
      <c r="E19" s="49"/>
      <c r="F19" s="49">
        <f t="shared" si="2"/>
        <v>1.2817382812500002E-3</v>
      </c>
      <c r="G19" s="49"/>
      <c r="H19" s="58">
        <f t="shared" si="3"/>
        <v>0.99993896484375022</v>
      </c>
    </row>
    <row r="20" spans="4:8" x14ac:dyDescent="0.3">
      <c r="D20" s="1">
        <v>7</v>
      </c>
      <c r="E20" s="59"/>
      <c r="F20" s="59">
        <f t="shared" si="2"/>
        <v>6.1035156250000027E-5</v>
      </c>
      <c r="G20" s="59"/>
      <c r="H20" s="2">
        <f t="shared" si="3"/>
        <v>1.0000000000000002</v>
      </c>
    </row>
  </sheetData>
  <mergeCells count="1">
    <mergeCell ref="J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705E-7510-4281-8FE5-1D38ED2CEBDB}">
  <dimension ref="B1:W26"/>
  <sheetViews>
    <sheetView tabSelected="1" zoomScale="95" zoomScaleNormal="95" workbookViewId="0">
      <selection activeCell="M4" sqref="M4"/>
    </sheetView>
  </sheetViews>
  <sheetFormatPr defaultRowHeight="14.4" x14ac:dyDescent="0.3"/>
  <cols>
    <col min="6" max="6" width="11" customWidth="1"/>
    <col min="7" max="7" width="12.21875" customWidth="1"/>
    <col min="12" max="12" width="12" bestFit="1" customWidth="1"/>
    <col min="16" max="16" width="11" bestFit="1" customWidth="1"/>
  </cols>
  <sheetData>
    <row r="1" spans="2:23" x14ac:dyDescent="0.3">
      <c r="J1" s="66" t="s">
        <v>105</v>
      </c>
      <c r="K1" s="67"/>
    </row>
    <row r="3" spans="2:23" ht="15.6" customHeight="1" x14ac:dyDescent="0.35">
      <c r="P3" s="70" t="s">
        <v>107</v>
      </c>
      <c r="Q3" s="90" t="s">
        <v>108</v>
      </c>
      <c r="R3" s="89"/>
      <c r="S3" s="14"/>
    </row>
    <row r="4" spans="2:23" x14ac:dyDescent="0.3">
      <c r="C4" t="s">
        <v>2</v>
      </c>
      <c r="P4" s="54" t="s">
        <v>109</v>
      </c>
      <c r="Q4" s="72" t="s">
        <v>110</v>
      </c>
    </row>
    <row r="5" spans="2:23" x14ac:dyDescent="0.3">
      <c r="P5" s="73" t="s">
        <v>112</v>
      </c>
      <c r="Q5" s="74"/>
      <c r="R5" s="75" t="s">
        <v>111</v>
      </c>
      <c r="S5" s="75"/>
      <c r="T5" s="75"/>
      <c r="U5" s="75"/>
      <c r="V5" s="75"/>
      <c r="W5" s="76"/>
    </row>
    <row r="6" spans="2:23" x14ac:dyDescent="0.3">
      <c r="B6" s="54"/>
      <c r="C6" s="55"/>
      <c r="D6" s="55"/>
      <c r="E6" s="61" t="s">
        <v>116</v>
      </c>
      <c r="F6" s="52" t="s">
        <v>117</v>
      </c>
      <c r="G6" s="77" t="s">
        <v>118</v>
      </c>
    </row>
    <row r="7" spans="2:23" x14ac:dyDescent="0.3">
      <c r="B7" s="78" t="s">
        <v>119</v>
      </c>
      <c r="C7" s="65"/>
      <c r="D7" s="65"/>
      <c r="E7" s="80">
        <v>10000</v>
      </c>
      <c r="F7" s="63">
        <v>20000</v>
      </c>
      <c r="G7" s="79">
        <v>20000</v>
      </c>
    </row>
    <row r="8" spans="2:23" x14ac:dyDescent="0.3">
      <c r="K8" s="112" t="s">
        <v>162</v>
      </c>
      <c r="L8" s="82"/>
      <c r="M8" s="113"/>
    </row>
    <row r="9" spans="2:23" x14ac:dyDescent="0.3">
      <c r="D9" s="61" t="s">
        <v>120</v>
      </c>
      <c r="E9" s="77">
        <v>15</v>
      </c>
      <c r="K9" s="114"/>
      <c r="L9" s="84"/>
      <c r="M9" s="115"/>
    </row>
    <row r="10" spans="2:23" x14ac:dyDescent="0.3">
      <c r="D10" s="83" t="s">
        <v>121</v>
      </c>
      <c r="E10" s="86">
        <v>20</v>
      </c>
      <c r="G10" s="90" t="s">
        <v>127</v>
      </c>
      <c r="H10" s="89"/>
      <c r="K10" s="116"/>
      <c r="L10" s="85"/>
      <c r="M10" s="117"/>
    </row>
    <row r="11" spans="2:23" x14ac:dyDescent="0.3">
      <c r="D11" s="80" t="s">
        <v>50</v>
      </c>
      <c r="E11" s="79">
        <v>10</v>
      </c>
    </row>
    <row r="13" spans="2:23" x14ac:dyDescent="0.3">
      <c r="D13" s="81" t="s">
        <v>113</v>
      </c>
      <c r="E13" s="82" t="s">
        <v>122</v>
      </c>
      <c r="F13" s="55" t="s">
        <v>123</v>
      </c>
      <c r="G13" s="56">
        <f>1/E7</f>
        <v>1E-4</v>
      </c>
    </row>
    <row r="14" spans="2:23" x14ac:dyDescent="0.3">
      <c r="D14" s="83" t="s">
        <v>115</v>
      </c>
      <c r="E14" s="84"/>
      <c r="F14" s="49" t="s">
        <v>124</v>
      </c>
      <c r="G14" s="58">
        <f>1/F7</f>
        <v>5.0000000000000002E-5</v>
      </c>
    </row>
    <row r="15" spans="2:23" x14ac:dyDescent="0.3">
      <c r="D15" s="80" t="s">
        <v>114</v>
      </c>
      <c r="E15" s="85"/>
      <c r="F15" s="59" t="s">
        <v>124</v>
      </c>
      <c r="G15" s="2">
        <f>1/G7</f>
        <v>5.0000000000000002E-5</v>
      </c>
    </row>
    <row r="19" spans="4:12" x14ac:dyDescent="0.3">
      <c r="D19" s="87" t="s">
        <v>107</v>
      </c>
      <c r="E19" s="110" t="s">
        <v>125</v>
      </c>
      <c r="F19" s="110"/>
      <c r="G19" s="110"/>
      <c r="H19" s="88">
        <f>1/(E9*G13+E10*G14+E11*G15)</f>
        <v>333.33333333333331</v>
      </c>
      <c r="I19" s="89"/>
    </row>
    <row r="21" spans="4:12" x14ac:dyDescent="0.3">
      <c r="D21" s="90" t="s">
        <v>109</v>
      </c>
      <c r="E21" s="88"/>
      <c r="F21" s="91" t="s">
        <v>126</v>
      </c>
      <c r="G21" s="92">
        <f>EXP(-100/333.33)</f>
        <v>0.74081599820816479</v>
      </c>
    </row>
    <row r="24" spans="4:12" x14ac:dyDescent="0.3">
      <c r="I24" s="112" t="s">
        <v>163</v>
      </c>
      <c r="J24" s="82"/>
      <c r="K24" s="82"/>
      <c r="L24" s="113"/>
    </row>
    <row r="25" spans="4:12" x14ac:dyDescent="0.3">
      <c r="I25" s="114"/>
      <c r="J25" s="84"/>
      <c r="K25" s="84"/>
      <c r="L25" s="115"/>
    </row>
    <row r="26" spans="4:12" x14ac:dyDescent="0.3">
      <c r="I26" s="116"/>
      <c r="J26" s="85"/>
      <c r="K26" s="85"/>
      <c r="L26" s="117"/>
    </row>
  </sheetData>
  <mergeCells count="10">
    <mergeCell ref="I24:L26"/>
    <mergeCell ref="Q3:R3"/>
    <mergeCell ref="E19:G19"/>
    <mergeCell ref="H19:I19"/>
    <mergeCell ref="D21:E21"/>
    <mergeCell ref="G10:H10"/>
    <mergeCell ref="K8:M10"/>
    <mergeCell ref="J1:K1"/>
    <mergeCell ref="B7:D7"/>
    <mergeCell ref="E13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MM1 INFINITY</vt:lpstr>
      <vt:lpstr>MM1K INFINITY</vt:lpstr>
      <vt:lpstr>MMC INFINITY</vt:lpstr>
      <vt:lpstr>MMCK</vt:lpstr>
      <vt:lpstr>B&amp;D</vt:lpstr>
      <vt:lpstr>SIMULATION</vt:lpstr>
      <vt:lpstr>DISTRIBUTION PROBLEM</vt:lpstr>
      <vt:lpstr>RELIBILATY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Raj</dc:creator>
  <cp:lastModifiedBy>Amrit Raj</cp:lastModifiedBy>
  <dcterms:created xsi:type="dcterms:W3CDTF">2023-12-16T10:12:33Z</dcterms:created>
  <dcterms:modified xsi:type="dcterms:W3CDTF">2023-12-17T17:37:10Z</dcterms:modified>
</cp:coreProperties>
</file>